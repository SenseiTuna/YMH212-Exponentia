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YMH212-Exponentia\"/>
    </mc:Choice>
  </mc:AlternateContent>
  <xr:revisionPtr revIDLastSave="0" documentId="13_ncr:1_{64D916B1-6341-4465-BD53-9C7D6CBFDEA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Özet" sheetId="1" r:id="rId1"/>
    <sheet name="Görevler" sheetId="2" r:id="rId2"/>
    <sheet name="Gantt" sheetId="3" r:id="rId3"/>
  </sheets>
  <definedNames>
    <definedName name="_xlnm._FilterDatabase" localSheetId="1" hidden="1">Görevler!$A$1:$X$40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2" l="1"/>
  <c r="X39" i="2" s="1"/>
  <c r="I39" i="2"/>
  <c r="M38" i="2"/>
  <c r="X38" i="2" s="1"/>
  <c r="I38" i="2"/>
  <c r="M37" i="2"/>
  <c r="W37" i="2" s="1"/>
  <c r="I37" i="2"/>
  <c r="M36" i="2"/>
  <c r="X36" i="2" s="1"/>
  <c r="I36" i="2"/>
  <c r="M35" i="2"/>
  <c r="W35" i="2" s="1"/>
  <c r="I35" i="2"/>
  <c r="M34" i="2"/>
  <c r="V34" i="2" s="1"/>
  <c r="I34" i="2"/>
  <c r="M33" i="2"/>
  <c r="X33" i="2" s="1"/>
  <c r="I33" i="2"/>
  <c r="M32" i="2"/>
  <c r="V32" i="2" s="1"/>
  <c r="I32" i="2"/>
  <c r="M31" i="2"/>
  <c r="V31" i="2" s="1"/>
  <c r="I31" i="2"/>
  <c r="M30" i="2"/>
  <c r="W30" i="2" s="1"/>
  <c r="I30" i="2"/>
  <c r="X29" i="2"/>
  <c r="W29" i="2"/>
  <c r="U29" i="2"/>
  <c r="M29" i="2"/>
  <c r="V29" i="2" s="1"/>
  <c r="I29" i="2"/>
  <c r="M28" i="2"/>
  <c r="V28" i="2" s="1"/>
  <c r="I28" i="2"/>
  <c r="M27" i="2"/>
  <c r="W27" i="2" s="1"/>
  <c r="I27" i="2"/>
  <c r="M26" i="2"/>
  <c r="W26" i="2" s="1"/>
  <c r="I26" i="2"/>
  <c r="M25" i="2"/>
  <c r="V25" i="2" s="1"/>
  <c r="I25" i="2"/>
  <c r="M24" i="2"/>
  <c r="U24" i="2" s="1"/>
  <c r="I24" i="2"/>
  <c r="M23" i="2"/>
  <c r="V23" i="2" s="1"/>
  <c r="I23" i="2"/>
  <c r="M22" i="2"/>
  <c r="X22" i="2" s="1"/>
  <c r="I22" i="2"/>
  <c r="X21" i="2"/>
  <c r="W21" i="2"/>
  <c r="V21" i="2"/>
  <c r="M21" i="2"/>
  <c r="U21" i="2" s="1"/>
  <c r="I21" i="2"/>
  <c r="M20" i="2"/>
  <c r="W20" i="2" s="1"/>
  <c r="I20" i="2"/>
  <c r="M19" i="2"/>
  <c r="W19" i="2" s="1"/>
  <c r="I19" i="2"/>
  <c r="M18" i="2"/>
  <c r="V18" i="2" s="1"/>
  <c r="I18" i="2"/>
  <c r="M17" i="2"/>
  <c r="X17" i="2" s="1"/>
  <c r="I17" i="2"/>
  <c r="M16" i="2"/>
  <c r="V16" i="2" s="1"/>
  <c r="I16" i="2"/>
  <c r="M15" i="2"/>
  <c r="V15" i="2" s="1"/>
  <c r="I15" i="2"/>
  <c r="M14" i="2"/>
  <c r="X14" i="2" s="1"/>
  <c r="I14" i="2"/>
  <c r="M13" i="2"/>
  <c r="X13" i="2" s="1"/>
  <c r="I13" i="2"/>
  <c r="M12" i="2"/>
  <c r="X12" i="2" s="1"/>
  <c r="I12" i="2"/>
  <c r="X11" i="2"/>
  <c r="W11" i="2"/>
  <c r="U11" i="2"/>
  <c r="M11" i="2"/>
  <c r="V11" i="2" s="1"/>
  <c r="I11" i="2"/>
  <c r="M10" i="2"/>
  <c r="W10" i="2" s="1"/>
  <c r="I10" i="2"/>
  <c r="M9" i="2"/>
  <c r="V9" i="2" s="1"/>
  <c r="I9" i="2"/>
  <c r="M8" i="2"/>
  <c r="U8" i="2" s="1"/>
  <c r="I8" i="2"/>
  <c r="M7" i="2"/>
  <c r="W7" i="2" s="1"/>
  <c r="I7" i="2"/>
  <c r="M6" i="2"/>
  <c r="X6" i="2" s="1"/>
  <c r="I6" i="2"/>
  <c r="M5" i="2"/>
  <c r="X5" i="2" s="1"/>
  <c r="I5" i="2"/>
  <c r="M4" i="2"/>
  <c r="X4" i="2" s="1"/>
  <c r="I4" i="2"/>
  <c r="M3" i="2"/>
  <c r="W3" i="2" s="1"/>
  <c r="I3" i="2"/>
  <c r="X2" i="2"/>
  <c r="W2" i="2"/>
  <c r="M2" i="2"/>
  <c r="V2" i="2" s="1"/>
  <c r="I2" i="2"/>
  <c r="X3" i="2" l="1"/>
  <c r="U13" i="2"/>
  <c r="W5" i="2"/>
  <c r="X27" i="2"/>
  <c r="V37" i="2"/>
  <c r="X30" i="2"/>
  <c r="U31" i="2"/>
  <c r="W13" i="2"/>
  <c r="W23" i="2"/>
  <c r="U5" i="2"/>
  <c r="V5" i="2"/>
  <c r="X32" i="2"/>
  <c r="W16" i="2"/>
  <c r="W34" i="2"/>
  <c r="X16" i="2"/>
  <c r="U7" i="2"/>
  <c r="X7" i="2"/>
  <c r="X19" i="2"/>
  <c r="W28" i="2"/>
  <c r="X37" i="2"/>
  <c r="U23" i="2"/>
  <c r="X23" i="2"/>
  <c r="V7" i="2"/>
  <c r="U27" i="2"/>
  <c r="V27" i="2"/>
  <c r="X18" i="2"/>
  <c r="X28" i="2"/>
  <c r="W32" i="2"/>
  <c r="X34" i="2"/>
  <c r="X35" i="2"/>
  <c r="X10" i="2"/>
  <c r="V3" i="2"/>
  <c r="V13" i="2"/>
  <c r="X26" i="2"/>
  <c r="W18" i="2"/>
  <c r="V39" i="2"/>
  <c r="V8" i="2"/>
  <c r="V24" i="2"/>
  <c r="U3" i="2"/>
  <c r="W8" i="2"/>
  <c r="U19" i="2"/>
  <c r="W24" i="2"/>
  <c r="U35" i="2"/>
  <c r="V35" i="2"/>
  <c r="X8" i="2"/>
  <c r="V19" i="2"/>
  <c r="X24" i="2"/>
  <c r="U14" i="2"/>
  <c r="U30" i="2"/>
  <c r="V30" i="2"/>
  <c r="U9" i="2"/>
  <c r="W14" i="2"/>
  <c r="U25" i="2"/>
  <c r="V14" i="2"/>
  <c r="W9" i="2"/>
  <c r="U36" i="2"/>
  <c r="U4" i="2"/>
  <c r="X9" i="2"/>
  <c r="V20" i="2"/>
  <c r="X25" i="2"/>
  <c r="V36" i="2"/>
  <c r="W36" i="2"/>
  <c r="W25" i="2"/>
  <c r="V4" i="2"/>
  <c r="V40" i="2" s="1"/>
  <c r="W4" i="2"/>
  <c r="U15" i="2"/>
  <c r="X20" i="2"/>
  <c r="W15" i="2"/>
  <c r="U26" i="2"/>
  <c r="W31" i="2"/>
  <c r="V10" i="2"/>
  <c r="X15" i="2"/>
  <c r="V26" i="2"/>
  <c r="X31" i="2"/>
  <c r="U20" i="2"/>
  <c r="U10" i="2"/>
  <c r="U37" i="2"/>
  <c r="U16" i="2"/>
  <c r="U32" i="2"/>
  <c r="U22" i="2"/>
  <c r="U38" i="2"/>
  <c r="V6" i="2"/>
  <c r="V38" i="2"/>
  <c r="W6" i="2"/>
  <c r="U17" i="2"/>
  <c r="W22" i="2"/>
  <c r="U33" i="2"/>
  <c r="W38" i="2"/>
  <c r="V22" i="2"/>
  <c r="V17" i="2"/>
  <c r="V33" i="2"/>
  <c r="U6" i="2"/>
  <c r="U12" i="2"/>
  <c r="W17" i="2"/>
  <c r="U28" i="2"/>
  <c r="W33" i="2"/>
  <c r="V12" i="2"/>
  <c r="U39" i="2"/>
  <c r="W12" i="2"/>
  <c r="U2" i="2"/>
  <c r="U18" i="2"/>
  <c r="U34" i="2"/>
  <c r="W39" i="2"/>
  <c r="W40" i="2" l="1"/>
  <c r="X40" i="2"/>
  <c r="U40" i="2"/>
</calcChain>
</file>

<file path=xl/sharedStrings.xml><?xml version="1.0" encoding="utf-8"?>
<sst xmlns="http://schemas.openxmlformats.org/spreadsheetml/2006/main" count="1152" uniqueCount="295">
  <si>
    <t>Exponentia — 14 Haftalık Geliştirme + Bugfix Yol Haritası</t>
  </si>
  <si>
    <t>İlk iki hafta, yüklenen raporlardaki gerçek ilerlemeye göre işlendi.</t>
  </si>
  <si>
    <t>Proje Türü</t>
  </si>
  <si>
    <t>Yunan mitolojisi temalı 2D topdown roguelite / bullet hell</t>
  </si>
  <si>
    <t>Plan Süresi</t>
  </si>
  <si>
    <t>14 hafta (11 hafta geliştirme + 3 hafta bugfix/polish)</t>
  </si>
  <si>
    <t>Takım</t>
  </si>
  <si>
    <t>Tuna Girgin, Burak Özcan, Onur Çekiş, Yağız Öncül</t>
  </si>
  <si>
    <t>Tarih Aralığı</t>
  </si>
  <si>
    <t>23/02/2026 - 01/06/2026</t>
  </si>
  <si>
    <t>Ağırlık Formülü</t>
  </si>
  <si>
    <t>ROUND(0.35*Zorluk + 0.30*Zaman Yükü + 0.35*Önem)</t>
  </si>
  <si>
    <t>Önerilen Sorumluluk Dağılımı</t>
  </si>
  <si>
    <t>Üye</t>
  </si>
  <si>
    <t>Rol</t>
  </si>
  <si>
    <t>Odak Alanı</t>
  </si>
  <si>
    <t>Not</t>
  </si>
  <si>
    <t>Tuna Girgin</t>
  </si>
  <si>
    <t>Core Gameplay / Player Systems</t>
  </si>
  <si>
    <t>Hareket, karakter sistemi, silah mantığı, progression</t>
  </si>
  <si>
    <t>Teknik omurga ve oynanış hissi</t>
  </si>
  <si>
    <t>Burak Özcan</t>
  </si>
  <si>
    <t>Dungeon / UI / Tools</t>
  </si>
  <si>
    <t>Oda sistemi, minimap, HUD, akış araçları</t>
  </si>
  <si>
    <t>Yapısal akış ve kullanıcı bilgisi</t>
  </si>
  <si>
    <t>Onur Çekiş</t>
  </si>
  <si>
    <t>Enemy AI / Combat</t>
  </si>
  <si>
    <t>Düşmanlar, bosslar, combat davranışları</t>
  </si>
  <si>
    <t>Savaş ritmi ve dengeleme</t>
  </si>
  <si>
    <t>Yağız Öncül</t>
  </si>
  <si>
    <t>Art / Animation / Content</t>
  </si>
  <si>
    <t>Konsept, sprite, animasyon, ikon, sunum görselleri</t>
  </si>
  <si>
    <t>Görsel bütünlük ve içerik üretimi</t>
  </si>
  <si>
    <t>Kişi Bazlı Toplam Ağırlık Dağılımı</t>
  </si>
  <si>
    <t>Toplam Yük</t>
  </si>
  <si>
    <t>Ortalama</t>
  </si>
  <si>
    <t>Sapma</t>
  </si>
  <si>
    <t>Durum</t>
  </si>
  <si>
    <t>Dengeli</t>
  </si>
  <si>
    <t>Toplam</t>
  </si>
  <si>
    <t>Haftalık Plan Özeti</t>
  </si>
  <si>
    <t>Hafta</t>
  </si>
  <si>
    <t>Başlangıç</t>
  </si>
  <si>
    <t>Bitiş</t>
  </si>
  <si>
    <t>Faz</t>
  </si>
  <si>
    <t>Kaynak / Açıklama</t>
  </si>
  <si>
    <t>W1</t>
  </si>
  <si>
    <t>Tamamlandı</t>
  </si>
  <si>
    <t>Rapor 1: takım, fikir, proje konusu, araç seçimi</t>
  </si>
  <si>
    <t>W2</t>
  </si>
  <si>
    <t>Analiz</t>
  </si>
  <si>
    <t>Rapor 2: amaç/kapsam, paydaş, Unity öğrenme başlangıcı</t>
  </si>
  <si>
    <t>W3</t>
  </si>
  <si>
    <t>Konsept + Core</t>
  </si>
  <si>
    <t>Planlandı</t>
  </si>
  <si>
    <t>Karakter konseptleri, hareket, combat prototipi</t>
  </si>
  <si>
    <t>W4</t>
  </si>
  <si>
    <t>Core + Dungeon</t>
  </si>
  <si>
    <t>Oda mimarisi, düşman framework, HUD iskeleti</t>
  </si>
  <si>
    <t>W5</t>
  </si>
  <si>
    <t>Characters + UI</t>
  </si>
  <si>
    <t>Karakter entegrasyonu, animasyonlar, minimap</t>
  </si>
  <si>
    <t>W6</t>
  </si>
  <si>
    <t>Weapons + Abilities</t>
  </si>
  <si>
    <t>Silah, tanrı yetenekleri, item/ödül sistemi</t>
  </si>
  <si>
    <t>W7</t>
  </si>
  <si>
    <t>Enemy / Combat</t>
  </si>
  <si>
    <t>Düşman dalga 1, combat polish</t>
  </si>
  <si>
    <t>W8</t>
  </si>
  <si>
    <t>Floor 1</t>
  </si>
  <si>
    <t>İlk kat, boss 1, ödül ve geçiş akışı</t>
  </si>
  <si>
    <t>W9</t>
  </si>
  <si>
    <t>Floor 2 / Content</t>
  </si>
  <si>
    <t>2. kat, ek düşmanlar, room variety</t>
  </si>
  <si>
    <t>W10</t>
  </si>
  <si>
    <t>Progression / UI</t>
  </si>
  <si>
    <t>Upgrade sistemi, UI finalizasyonu, run flow</t>
  </si>
  <si>
    <t>W11</t>
  </si>
  <si>
    <t>Content Lock</t>
  </si>
  <si>
    <t>İçerik kilidi, dengeleme, eksik assetler</t>
  </si>
  <si>
    <t>W12</t>
  </si>
  <si>
    <t>Bugfix</t>
  </si>
  <si>
    <t>Planlandı - Bugfix</t>
  </si>
  <si>
    <t>Kritik bugfix ve stabilizasyon</t>
  </si>
  <si>
    <t>W13</t>
  </si>
  <si>
    <t>Bugfix + Polish</t>
  </si>
  <si>
    <t>Planlandı - Polish</t>
  </si>
  <si>
    <t>Performans, denge, UX ve polish</t>
  </si>
  <si>
    <t>W14</t>
  </si>
  <si>
    <t>Release Prep</t>
  </si>
  <si>
    <t>Final build, sunum, demo video ve doğrulama</t>
  </si>
  <si>
    <t>ID</t>
  </si>
  <si>
    <t>Görev Paketi</t>
  </si>
  <si>
    <t>Açıklama</t>
  </si>
  <si>
    <t>Başlangıç Hafta</t>
  </si>
  <si>
    <t>Bitiş Hafta</t>
  </si>
  <si>
    <t>Başlangıç Tarihi</t>
  </si>
  <si>
    <t>Bitiş Tarihi</t>
  </si>
  <si>
    <t>Süre (hf)</t>
  </si>
  <si>
    <t>Zorluk</t>
  </si>
  <si>
    <t>Zaman Yükü</t>
  </si>
  <si>
    <t>Önem</t>
  </si>
  <si>
    <t>Ağırlık</t>
  </si>
  <si>
    <t>Tuna %</t>
  </si>
  <si>
    <t>Burak %</t>
  </si>
  <si>
    <t>Onur %</t>
  </si>
  <si>
    <t>Yağız %</t>
  </si>
  <si>
    <t>Birincil Sorumlu</t>
  </si>
  <si>
    <t>Destekleyenler</t>
  </si>
  <si>
    <t>Tuna Yük</t>
  </si>
  <si>
    <t>Burak Yük</t>
  </si>
  <si>
    <t>Onur Yük</t>
  </si>
  <si>
    <t>Yağız Yük</t>
  </si>
  <si>
    <t>T01</t>
  </si>
  <si>
    <t>Yönetim / Ön Hazırlık</t>
  </si>
  <si>
    <t>Takım kurulumu, isim ve vizyon hizalaması</t>
  </si>
  <si>
    <t>Takım üyelerinin kesinleştirilmesi, Exponentia adının belirlenmesi ve ortak vizyonun oluşturulması.</t>
  </si>
  <si>
    <t>Burak Özcan, Onur Çekiş, Yağız Öncül</t>
  </si>
  <si>
    <t>T02</t>
  </si>
  <si>
    <t>Proje fikri değerlendirme ve konu seçimi</t>
  </si>
  <si>
    <t>Farklı oyun/yazılım fikirlerinin değerlendirilmesi ve Yunan mitolojisi temalı 2D roguelite bullet hell fikrinin seçilmesi.</t>
  </si>
  <si>
    <t>T03</t>
  </si>
  <si>
    <t>Unity/GitHub araç seti, repo ve çalışma akışı</t>
  </si>
  <si>
    <t>Oyun motoru, sürüm kontrolü ve ekip çalışma düzeninin netleştirilmesi.</t>
  </si>
  <si>
    <t>T04</t>
  </si>
  <si>
    <t>Analiz / Gereksinim</t>
  </si>
  <si>
    <t>Rapor yapısı, paydaş ve kapsam çerçevesi</t>
  </si>
  <si>
    <t>Rapor ana başlıklarının, paydaşların ve proje kapsamının çerçevesinin oluşturulması.</t>
  </si>
  <si>
    <t>T05</t>
  </si>
  <si>
    <t>Amaç, kapsam ve MVP sınırlarının netleştirilmesi</t>
  </si>
  <si>
    <t>Projenin amacı, kapsamı, sınırları ve MVP hedeflerinin belirlenmesi.</t>
  </si>
  <si>
    <t>T06</t>
  </si>
  <si>
    <t>Unity eğitim başlangıcı ve teknik araştırma</t>
  </si>
  <si>
    <t>Unity öğrenme sürecinin başlatılması ve temel 2D roguelite tekniklerinin araştırılması.</t>
  </si>
  <si>
    <t>Tuna Girgin, Burak Özcan, Yağız Öncül</t>
  </si>
  <si>
    <t>T07</t>
  </si>
  <si>
    <t>Oyun adı beyin fırtınası ve konsept referans toplama</t>
  </si>
  <si>
    <t>Oyun adı üzerine fikir üretimi, atmosfer ve karakter/yetenek referanslarının toplanması.</t>
  </si>
  <si>
    <t/>
  </si>
  <si>
    <t>T08</t>
  </si>
  <si>
    <t>Konsept / Tasarım</t>
  </si>
  <si>
    <t>4 karakter konsept paketi</t>
  </si>
  <si>
    <t>Her karakter için temel görünüm, başlangıç silahı, aktif skill ve pasif özelliğin tasarlanması.</t>
  </si>
  <si>
    <t>T09</t>
  </si>
  <si>
    <t>Core Gameplay</t>
  </si>
  <si>
    <t>Temel oyuncu hareketi, kamera ve input prototipi</t>
  </si>
  <si>
    <t>Topdown hareket, kamera takibi ve giriş sistemi prototipinin geliştirilmesi.</t>
  </si>
  <si>
    <t>T10</t>
  </si>
  <si>
    <t>Temel combat prototipi: saldırı, hasar, sağlık</t>
  </si>
  <si>
    <t>Basit saldırı, hasar alma, can sistemi ve combat akışının ilk prototipinin kurulması.</t>
  </si>
  <si>
    <t>T11</t>
  </si>
  <si>
    <t>Art / Vision</t>
  </si>
  <si>
    <t>Art direction ve referans panosu</t>
  </si>
  <si>
    <t>Pixel art-gerçeğimsi karışım görsel dilin belirlenmesi ve referans panosunun hazırlanması.</t>
  </si>
  <si>
    <t>T12</t>
  </si>
  <si>
    <t>Dungeon / Tools</t>
  </si>
  <si>
    <t>Oda sistemi ve sahne mimarisi</t>
  </si>
  <si>
    <t>Oda prefab yaklaşımı, sahne yapısı, geçiş mantığı ve dungeon akış mimarisinin kurulması.</t>
  </si>
  <si>
    <t>T13</t>
  </si>
  <si>
    <t>Enemy framework ve 2 test düşmanı</t>
  </si>
  <si>
    <t>Düşman temel sınıf yapısı, state mantığı ve iki örnek düşmanın geliştirilmesi.</t>
  </si>
  <si>
    <t>T14</t>
  </si>
  <si>
    <t>UI / Tools</t>
  </si>
  <si>
    <t>HUD iskeleti ve debug panel</t>
  </si>
  <si>
    <t>Can, skill, silah, temel bilgi alanları ve debug amaçlı geliştirici panelinin kurulması.</t>
  </si>
  <si>
    <t>T15</t>
  </si>
  <si>
    <t>Characters</t>
  </si>
  <si>
    <t>4 karakterin oynanışa entegrasyonu ve seçim ekranı</t>
  </si>
  <si>
    <t>Karakter farklılıklarının oynanışa bağlanması ve seçim ekranının oluşturulması.</t>
  </si>
  <si>
    <t>Burak Özcan, Yağız Öncül</t>
  </si>
  <si>
    <t>T16</t>
  </si>
  <si>
    <t>Art / Animation</t>
  </si>
  <si>
    <t>İlk animasyonlar ve başlangıç silahı sprite setleri</t>
  </si>
  <si>
    <t>Karakter, silah ve kısa frame bazlı animasyonların ilk sürümünün hazırlanması.</t>
  </si>
  <si>
    <t>T17</t>
  </si>
  <si>
    <t>Dungeon / UI</t>
  </si>
  <si>
    <t>Minimap ve room graph prototipi</t>
  </si>
  <si>
    <t>Açılan odalar, mevcut konum ve bağlantılı odaları gösteren harita altyapısının kurulması.</t>
  </si>
  <si>
    <t>T18</t>
  </si>
  <si>
    <t>Weapons</t>
  </si>
  <si>
    <t>Silah sistemi genişletme ve pickup altyapısı</t>
  </si>
  <si>
    <t>Ek silah tipleri, pickup sistemi ve silah parametre altyapısının kurulması.</t>
  </si>
  <si>
    <t>Burak Özcan, Onur Çekiş</t>
  </si>
  <si>
    <t>T19</t>
  </si>
  <si>
    <t>Abilities</t>
  </si>
  <si>
    <t>Tanrı yetenek sistemi ve ilk yetenek seti</t>
  </si>
  <si>
    <t>Zeus, Poseidon, Ares vb. için ilk aktif/pasif yetenek setlerinin geliştirilmesi.</t>
  </si>
  <si>
    <t>Tuna Girgin, Yağız Öncül</t>
  </si>
  <si>
    <t>T20</t>
  </si>
  <si>
    <t>Items / Progression</t>
  </si>
  <si>
    <t>Item sistemi ve ödül odası framework</t>
  </si>
  <si>
    <t>Run sırasında kazanılan itemler ve oda sonu ödül seçim akışının kurulması.</t>
  </si>
  <si>
    <t>T21</t>
  </si>
  <si>
    <t>Düşman paketi dalga 1 (5-6 düşman)</t>
  </si>
  <si>
    <t>İlk düşman havuzunun, varyantların ve temel davranış farklılıklarının eklenmesi.</t>
  </si>
  <si>
    <t>T22</t>
  </si>
  <si>
    <t>Combat Polish</t>
  </si>
  <si>
    <t>Combat hissi polish (hit feedback, knockback, i-frame)</t>
  </si>
  <si>
    <t>Vuruş hissi, geri tepme, vurulma süresi ve combat okunabilirliğinin iyileştirilmesi.</t>
  </si>
  <si>
    <t>T23</t>
  </si>
  <si>
    <t>Floors / Boss</t>
  </si>
  <si>
    <t>1. kat tam döngü ve boss 1</t>
  </si>
  <si>
    <t>İlk katın normal odalar, ödül akışı ve ilk boss ile tamamlanması.</t>
  </si>
  <si>
    <t>T24</t>
  </si>
  <si>
    <t>UI / Dungeon</t>
  </si>
  <si>
    <t>Boss/reward odası ve geçiş UI</t>
  </si>
  <si>
    <t>Boss odası, ödül odası, kat geçiş ekranı ve ilgili UI akışlarının eklenmesi.</t>
  </si>
  <si>
    <t>T25</t>
  </si>
  <si>
    <t>Floors / Content</t>
  </si>
  <si>
    <t>2. kat tema, odalar ve elite encounter</t>
  </si>
  <si>
    <t>İkinci katın odaları, tema ayrışması ve elite encounter yapısının eklenmesi.</t>
  </si>
  <si>
    <t>Onur Çekiş, Yağız Öncül</t>
  </si>
  <si>
    <t>T26</t>
  </si>
  <si>
    <t>Enemy / Content</t>
  </si>
  <si>
    <t>Düşman paketi dalga 2 (4-5 düşman)</t>
  </si>
  <si>
    <t>Ek düşman çeşitleri, ikinci kat düşman havuzu ve ileri patternlerin eklenmesi.</t>
  </si>
  <si>
    <t>T27</t>
  </si>
  <si>
    <t>Rooms / Variety</t>
  </si>
  <si>
    <t>Shop/challenge/event room prototipleri</t>
  </si>
  <si>
    <t>Oyuna çeşitlilik katacak mağaza, etkinlik ve challenge oda prototiplerinin kurulması.</t>
  </si>
  <si>
    <t>T28</t>
  </si>
  <si>
    <t>Progression</t>
  </si>
  <si>
    <t>Upgrade/stat sistemi ve build çeşitliliği</t>
  </si>
  <si>
    <t>Karakter ve silah/yetenek gelişimini etkileyen istatistik ve upgrade sistemi.</t>
  </si>
  <si>
    <t>T29</t>
  </si>
  <si>
    <t>UI Final</t>
  </si>
  <si>
    <t>UI finalizasyonu (istatistik paneli, boss hp, prompt)</t>
  </si>
  <si>
    <t>Detaylı HUD, stat ekranı, boss HP, pickup prompt ve kullanıcı bilgisi iyileştirmeleri.</t>
  </si>
  <si>
    <t>T30</t>
  </si>
  <si>
    <t>Run Flow</t>
  </si>
  <si>
    <t>3. kat prototipi ve run flow finalizasyonu</t>
  </si>
  <si>
    <t>MVP için üçüncü kat prototipi, run akışı ve ölüm/yeniden başlat döngüsünün tamamlanması.</t>
  </si>
  <si>
    <t>T31</t>
  </si>
  <si>
    <t>Balancing</t>
  </si>
  <si>
    <t>İçerik kilidi ve genel dengeleme</t>
  </si>
  <si>
    <t>Yeni büyük sistem eklemeyi durdurup mevcut sistemlerin içerik kilidi ve dengelemesinin yapılması.</t>
  </si>
  <si>
    <t>T32</t>
  </si>
  <si>
    <t>Art / Finalization</t>
  </si>
  <si>
    <t>Eksik animasyon ve asset kapatma</t>
  </si>
  <si>
    <t>Eksik sprite, animasyon, ikon ve küçük görsel boşlukların kapatılması.</t>
  </si>
  <si>
    <t>T33</t>
  </si>
  <si>
    <t>Bugfix / Stabilization</t>
  </si>
  <si>
    <t>Kritik bugfix ve crash stabilizasyonu</t>
  </si>
  <si>
    <t>Çökme, state bozulması ve akışı kıran kritik hataların giderilmesi.</t>
  </si>
  <si>
    <t>T34</t>
  </si>
  <si>
    <t>Bugfix / Systems</t>
  </si>
  <si>
    <t>Save/scene/map/combat hata temizliği</t>
  </si>
  <si>
    <t>Kayıt, sahne geçişi, minimap ve combat tarafındaki sistemsel hataların temizlenmesi.</t>
  </si>
  <si>
    <t>Tuna Girgin, Onur Çekiş, Yağız Öncül</t>
  </si>
  <si>
    <t>T35</t>
  </si>
  <si>
    <t>Polish / Optimization</t>
  </si>
  <si>
    <t>Dengeleme, performans ve kullanılabilirlik geçişi</t>
  </si>
  <si>
    <t>Denge, optimizasyon, performans testleri ve kullanıcı deneyimi iyileştirmeleri.</t>
  </si>
  <si>
    <t>T36</t>
  </si>
  <si>
    <t>Polish / UX</t>
  </si>
  <si>
    <t>VFX/SFX okunabilirliği ve UX polish</t>
  </si>
  <si>
    <t>Görsel efekt, okunabilirlik, geri bildirim ve sunum kalitesi iyileştirmeleri.</t>
  </si>
  <si>
    <t>Tuna Girgin, Burak Özcan</t>
  </si>
  <si>
    <t>T37</t>
  </si>
  <si>
    <t>Release</t>
  </si>
  <si>
    <t>Final build, sunum ve dokümantasyon</t>
  </si>
  <si>
    <t>Final build alınması, teslim/sunum dosyalarının ve kısa teknik dökümantasyonun hazırlanması.</t>
  </si>
  <si>
    <t>T38</t>
  </si>
  <si>
    <t>Demo video, ekran görüntüleri ve RC doğrulama</t>
  </si>
  <si>
    <t>Kısa demo video, ekran görüntüleri ve release candidate doğrulama testlerinin yapılması.</t>
  </si>
  <si>
    <t>Tuna Girgin, Burak Özcan, Onur Çekiş</t>
  </si>
  <si>
    <t>TOPLAM</t>
  </si>
  <si>
    <t>Exponentia — Gantt Şeması</t>
  </si>
  <si>
    <t>Gösterge:</t>
  </si>
  <si>
    <t>Planlı Geliştirme</t>
  </si>
  <si>
    <t>Bugfix / Polish</t>
  </si>
  <si>
    <t>W1
23/02-02/03</t>
  </si>
  <si>
    <t>W2
02/03-09/03</t>
  </si>
  <si>
    <t>W3
09/03-16/03</t>
  </si>
  <si>
    <t>W4
16/03-23/03</t>
  </si>
  <si>
    <t>W5
23/03-30/03</t>
  </si>
  <si>
    <t>W6
30/03-06/04</t>
  </si>
  <si>
    <t>W7
06/04-13/04</t>
  </si>
  <si>
    <t>W8
13/04-20/04</t>
  </si>
  <si>
    <t>W9
20/04-27/04</t>
  </si>
  <si>
    <t>W10
27/04-04/05</t>
  </si>
  <si>
    <t>W11
04/05-11/05</t>
  </si>
  <si>
    <t>W12
11/05-18/05</t>
  </si>
  <si>
    <t>W13
18/05-25/05</t>
  </si>
  <si>
    <t>W14
25/05-01/06</t>
  </si>
  <si>
    <t>Tüm Üyeler</t>
  </si>
  <si>
    <t>TÜ</t>
  </si>
  <si>
    <t>Devam Ediyor</t>
  </si>
  <si>
    <t>Üstünde Çalışılıyor</t>
  </si>
  <si>
    <t>Tuna</t>
  </si>
  <si>
    <t>Onur</t>
  </si>
  <si>
    <t>Burak</t>
  </si>
  <si>
    <t>Yağıznetim / Ön Hazırlık</t>
  </si>
  <si>
    <t>Yağız</t>
  </si>
  <si>
    <t>20/04/2026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</si>
</sst>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1F4E78"/>
      <name val="Calibri"/>
    </font>
    <font>
      <b/>
      <sz val="11"/>
      <color rgb="FFFFFFFF"/>
      <name val="Aptos"/>
      <family val="2"/>
    </font>
    <font>
      <b/>
      <sz val="11"/>
      <color rgb="FF1F4E78"/>
      <name val="Aptos"/>
      <family val="2"/>
    </font>
    <font>
      <sz val="10"/>
      <color rgb="FF000000"/>
      <name val="Aptos"/>
      <family val="2"/>
    </font>
    <font>
      <sz val="11"/>
      <color theme="1"/>
      <name val="Aptos"/>
      <family val="2"/>
    </font>
    <font>
      <sz val="10"/>
      <color rgb="FF0000FF"/>
      <name val="Aptos"/>
      <family val="2"/>
    </font>
    <font>
      <b/>
      <sz val="14"/>
      <color rgb="FFFFFFFF"/>
      <name val="Aptos"/>
      <family val="2"/>
    </font>
    <font>
      <sz val="10"/>
      <color rgb="FF666666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4B183"/>
      </patternFill>
    </fill>
    <fill>
      <patternFill patternType="solid">
        <fgColor rgb="FFD9EAF7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14" borderId="0" xfId="0" applyFill="1"/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horizontal="right" vertical="top" wrapText="1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top" wrapText="1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9" fontId="7" fillId="0" borderId="1" xfId="0" applyNumberFormat="1" applyFont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6" fillId="0" borderId="1" xfId="0" applyFont="1" applyBorder="1"/>
    <xf numFmtId="2" fontId="5" fillId="0" borderId="1" xfId="0" applyNumberFormat="1" applyFont="1" applyBorder="1"/>
    <xf numFmtId="0" fontId="8" fillId="2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/>
    <xf numFmtId="0" fontId="9" fillId="0" borderId="0" xfId="0" applyFont="1"/>
    <xf numFmtId="0" fontId="4" fillId="0" borderId="0" xfId="0" applyFont="1"/>
    <xf numFmtId="0" fontId="5" fillId="0" borderId="0" xfId="0" applyFont="1"/>
    <xf numFmtId="0" fontId="8" fillId="3" borderId="0" xfId="0" applyFont="1" applyFill="1" applyAlignment="1">
      <alignment horizontal="left"/>
    </xf>
    <xf numFmtId="0" fontId="8" fillId="3" borderId="0" xfId="0" applyFont="1" applyFill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t>Kişi Bazlı Ağırlık Dağılımı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Özet!$A$19:$A$22</c:f>
              <c:strCache>
                <c:ptCount val="4"/>
                <c:pt idx="0">
                  <c:v>Tuna Girgin</c:v>
                </c:pt>
                <c:pt idx="1">
                  <c:v>Burak Özcan</c:v>
                </c:pt>
                <c:pt idx="2">
                  <c:v>Onur Çekiş</c:v>
                </c:pt>
                <c:pt idx="3">
                  <c:v>Yağız Öncül</c:v>
                </c:pt>
              </c:strCache>
            </c:strRef>
          </c:cat>
          <c:val>
            <c:numRef>
              <c:f>Özet!$B$19:$B$22</c:f>
              <c:numCache>
                <c:formatCode>0.00</c:formatCode>
                <c:ptCount val="4"/>
                <c:pt idx="0">
                  <c:v>64.7</c:v>
                </c:pt>
                <c:pt idx="1">
                  <c:v>63.45</c:v>
                </c:pt>
                <c:pt idx="2">
                  <c:v>64</c:v>
                </c:pt>
                <c:pt idx="3">
                  <c:v>64.849999999999994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B-4BD0-812A-5F85E1718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Toplam Yük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Takım Üyesi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7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showGridLines="0" topLeftCell="A25" workbookViewId="0">
      <selection activeCell="F12" sqref="F12"/>
    </sheetView>
  </sheetViews>
  <sheetFormatPr defaultRowHeight="14.5" x14ac:dyDescent="0.35"/>
  <cols>
    <col min="1" max="1" width="22" style="45" customWidth="1"/>
    <col min="2" max="2" width="58" style="45" customWidth="1"/>
    <col min="3" max="3" width="22" style="45" customWidth="1"/>
    <col min="4" max="4" width="28" style="45" customWidth="1"/>
    <col min="5" max="5" width="14" style="45" customWidth="1"/>
    <col min="6" max="6" width="55" style="45" customWidth="1"/>
    <col min="7" max="7" width="14" style="45" customWidth="1"/>
    <col min="8" max="8" width="16" style="45" customWidth="1"/>
    <col min="9" max="16384" width="8.7265625" style="45"/>
  </cols>
  <sheetData>
    <row r="1" spans="1:8" ht="24" customHeight="1" x14ac:dyDescent="0.35">
      <c r="A1" s="43" t="s">
        <v>0</v>
      </c>
      <c r="B1" s="44"/>
      <c r="C1" s="44"/>
      <c r="D1" s="44"/>
      <c r="E1" s="44"/>
      <c r="F1" s="44"/>
      <c r="G1" s="44"/>
      <c r="H1" s="44"/>
    </row>
    <row r="2" spans="1:8" x14ac:dyDescent="0.35">
      <c r="H2" s="46" t="s">
        <v>1</v>
      </c>
    </row>
    <row r="3" spans="1:8" x14ac:dyDescent="0.35">
      <c r="A3" s="47" t="s">
        <v>2</v>
      </c>
      <c r="B3" s="48" t="s">
        <v>3</v>
      </c>
    </row>
    <row r="4" spans="1:8" x14ac:dyDescent="0.35">
      <c r="A4" s="47" t="s">
        <v>4</v>
      </c>
      <c r="B4" s="48" t="s">
        <v>5</v>
      </c>
    </row>
    <row r="5" spans="1:8" x14ac:dyDescent="0.35">
      <c r="A5" s="47" t="s">
        <v>6</v>
      </c>
      <c r="B5" s="48" t="s">
        <v>7</v>
      </c>
    </row>
    <row r="6" spans="1:8" x14ac:dyDescent="0.35">
      <c r="A6" s="47" t="s">
        <v>8</v>
      </c>
      <c r="B6" s="48" t="s">
        <v>9</v>
      </c>
    </row>
    <row r="7" spans="1:8" x14ac:dyDescent="0.35">
      <c r="A7" s="47" t="s">
        <v>10</v>
      </c>
      <c r="B7" s="48" t="s">
        <v>11</v>
      </c>
    </row>
    <row r="9" spans="1:8" ht="18.5" x14ac:dyDescent="0.45">
      <c r="A9" s="49" t="s">
        <v>12</v>
      </c>
      <c r="B9" s="44"/>
      <c r="C9" s="44"/>
      <c r="D9" s="44"/>
    </row>
    <row r="10" spans="1:8" x14ac:dyDescent="0.35">
      <c r="A10" s="40" t="s">
        <v>13</v>
      </c>
      <c r="B10" s="40" t="s">
        <v>14</v>
      </c>
      <c r="C10" s="40" t="s">
        <v>15</v>
      </c>
      <c r="D10" s="40" t="s">
        <v>16</v>
      </c>
    </row>
    <row r="11" spans="1:8" ht="26" x14ac:dyDescent="0.35">
      <c r="A11" s="10" t="s">
        <v>17</v>
      </c>
      <c r="B11" s="11" t="s">
        <v>18</v>
      </c>
      <c r="C11" s="11" t="s">
        <v>19</v>
      </c>
      <c r="D11" s="11" t="s">
        <v>20</v>
      </c>
    </row>
    <row r="12" spans="1:8" ht="26" x14ac:dyDescent="0.35">
      <c r="A12" s="10" t="s">
        <v>21</v>
      </c>
      <c r="B12" s="11" t="s">
        <v>22</v>
      </c>
      <c r="C12" s="11" t="s">
        <v>23</v>
      </c>
      <c r="D12" s="11" t="s">
        <v>24</v>
      </c>
    </row>
    <row r="13" spans="1:8" ht="26" x14ac:dyDescent="0.35">
      <c r="A13" s="10" t="s">
        <v>25</v>
      </c>
      <c r="B13" s="11" t="s">
        <v>26</v>
      </c>
      <c r="C13" s="11" t="s">
        <v>27</v>
      </c>
      <c r="D13" s="11" t="s">
        <v>28</v>
      </c>
    </row>
    <row r="14" spans="1:8" ht="39" x14ac:dyDescent="0.35">
      <c r="A14" s="10" t="s">
        <v>29</v>
      </c>
      <c r="B14" s="11" t="s">
        <v>30</v>
      </c>
      <c r="C14" s="11" t="s">
        <v>31</v>
      </c>
      <c r="D14" s="11" t="s">
        <v>32</v>
      </c>
    </row>
    <row r="17" spans="1:6" ht="18.5" x14ac:dyDescent="0.45">
      <c r="A17" s="50" t="s">
        <v>33</v>
      </c>
      <c r="B17" s="44"/>
      <c r="C17" s="44"/>
      <c r="D17" s="44"/>
      <c r="E17" s="44"/>
    </row>
    <row r="18" spans="1:6" x14ac:dyDescent="0.35">
      <c r="A18" s="40" t="s">
        <v>13</v>
      </c>
      <c r="B18" s="40" t="s">
        <v>34</v>
      </c>
      <c r="C18" s="40" t="s">
        <v>35</v>
      </c>
      <c r="D18" s="40" t="s">
        <v>36</v>
      </c>
      <c r="E18" s="40" t="s">
        <v>37</v>
      </c>
    </row>
    <row r="19" spans="1:6" x14ac:dyDescent="0.35">
      <c r="A19" s="51" t="s">
        <v>17</v>
      </c>
      <c r="B19" s="42">
        <v>64.7</v>
      </c>
      <c r="C19" s="42">
        <v>64.25</v>
      </c>
      <c r="D19" s="42">
        <v>0.45</v>
      </c>
      <c r="E19" s="52" t="s">
        <v>38</v>
      </c>
    </row>
    <row r="20" spans="1:6" x14ac:dyDescent="0.35">
      <c r="A20" s="51" t="s">
        <v>21</v>
      </c>
      <c r="B20" s="42">
        <v>63.45</v>
      </c>
      <c r="C20" s="42">
        <v>64.25</v>
      </c>
      <c r="D20" s="42">
        <v>-0.8</v>
      </c>
      <c r="E20" s="52" t="s">
        <v>38</v>
      </c>
    </row>
    <row r="21" spans="1:6" x14ac:dyDescent="0.35">
      <c r="A21" s="51" t="s">
        <v>25</v>
      </c>
      <c r="B21" s="42">
        <v>64</v>
      </c>
      <c r="C21" s="42">
        <v>64.25</v>
      </c>
      <c r="D21" s="42">
        <v>-0.25</v>
      </c>
      <c r="E21" s="52" t="s">
        <v>38</v>
      </c>
    </row>
    <row r="22" spans="1:6" x14ac:dyDescent="0.35">
      <c r="A22" s="51" t="s">
        <v>29</v>
      </c>
      <c r="B22" s="42">
        <v>64.849999999999994</v>
      </c>
      <c r="C22" s="42">
        <v>64.25</v>
      </c>
      <c r="D22" s="42">
        <v>0.6</v>
      </c>
      <c r="E22" s="52" t="s">
        <v>38</v>
      </c>
    </row>
    <row r="23" spans="1:6" x14ac:dyDescent="0.35">
      <c r="A23" s="51" t="s">
        <v>39</v>
      </c>
      <c r="B23" s="42">
        <v>257</v>
      </c>
    </row>
    <row r="26" spans="1:6" ht="18.5" x14ac:dyDescent="0.45">
      <c r="A26" s="50" t="s">
        <v>40</v>
      </c>
      <c r="B26" s="44"/>
      <c r="C26" s="44"/>
      <c r="D26" s="44"/>
      <c r="E26" s="44"/>
      <c r="F26" s="44"/>
    </row>
    <row r="27" spans="1:6" x14ac:dyDescent="0.35">
      <c r="A27" s="40" t="s">
        <v>41</v>
      </c>
      <c r="B27" s="40" t="s">
        <v>42</v>
      </c>
      <c r="C27" s="40" t="s">
        <v>43</v>
      </c>
      <c r="D27" s="40" t="s">
        <v>44</v>
      </c>
      <c r="E27" s="40" t="s">
        <v>37</v>
      </c>
      <c r="F27" s="40" t="s">
        <v>45</v>
      </c>
    </row>
    <row r="28" spans="1:6" x14ac:dyDescent="0.35">
      <c r="A28" s="10" t="s">
        <v>46</v>
      </c>
      <c r="B28" s="15">
        <v>46076</v>
      </c>
      <c r="C28" s="15">
        <v>46083</v>
      </c>
      <c r="D28" s="11" t="s">
        <v>42</v>
      </c>
      <c r="E28" s="13" t="s">
        <v>47</v>
      </c>
      <c r="F28" s="11" t="s">
        <v>48</v>
      </c>
    </row>
    <row r="29" spans="1:6" x14ac:dyDescent="0.35">
      <c r="A29" s="10" t="s">
        <v>49</v>
      </c>
      <c r="B29" s="15">
        <v>46083</v>
      </c>
      <c r="C29" s="15">
        <v>46090</v>
      </c>
      <c r="D29" s="11" t="s">
        <v>50</v>
      </c>
      <c r="E29" s="13" t="s">
        <v>47</v>
      </c>
      <c r="F29" s="11" t="s">
        <v>51</v>
      </c>
    </row>
    <row r="30" spans="1:6" x14ac:dyDescent="0.35">
      <c r="A30" s="10" t="s">
        <v>52</v>
      </c>
      <c r="B30" s="15">
        <v>46090</v>
      </c>
      <c r="C30" s="15">
        <v>46097</v>
      </c>
      <c r="D30" s="11" t="s">
        <v>53</v>
      </c>
      <c r="E30" s="21" t="s">
        <v>287</v>
      </c>
      <c r="F30" s="11" t="s">
        <v>55</v>
      </c>
    </row>
    <row r="31" spans="1:6" x14ac:dyDescent="0.35">
      <c r="A31" s="10" t="s">
        <v>56</v>
      </c>
      <c r="B31" s="15">
        <v>46097</v>
      </c>
      <c r="C31" s="15">
        <v>46104</v>
      </c>
      <c r="D31" s="11" t="s">
        <v>57</v>
      </c>
      <c r="E31" s="21" t="s">
        <v>287</v>
      </c>
      <c r="F31" s="11" t="s">
        <v>58</v>
      </c>
    </row>
    <row r="32" spans="1:6" x14ac:dyDescent="0.35">
      <c r="A32" s="10" t="s">
        <v>59</v>
      </c>
      <c r="B32" s="15">
        <v>46104</v>
      </c>
      <c r="C32" s="15">
        <v>46111</v>
      </c>
      <c r="D32" s="11" t="s">
        <v>60</v>
      </c>
      <c r="E32" s="21" t="s">
        <v>287</v>
      </c>
      <c r="F32" s="11" t="s">
        <v>61</v>
      </c>
    </row>
    <row r="33" spans="1:6" x14ac:dyDescent="0.35">
      <c r="A33" s="10" t="s">
        <v>62</v>
      </c>
      <c r="B33" s="15">
        <v>46111</v>
      </c>
      <c r="C33" s="15">
        <v>46118</v>
      </c>
      <c r="D33" s="11" t="s">
        <v>63</v>
      </c>
      <c r="E33" s="21" t="s">
        <v>287</v>
      </c>
      <c r="F33" s="11" t="s">
        <v>64</v>
      </c>
    </row>
    <row r="34" spans="1:6" x14ac:dyDescent="0.35">
      <c r="A34" s="10" t="s">
        <v>65</v>
      </c>
      <c r="B34" s="15">
        <v>46118</v>
      </c>
      <c r="C34" s="15">
        <v>46125</v>
      </c>
      <c r="D34" s="11" t="s">
        <v>66</v>
      </c>
      <c r="E34" s="21" t="s">
        <v>287</v>
      </c>
      <c r="F34" s="11" t="s">
        <v>67</v>
      </c>
    </row>
    <row r="35" spans="1:6" x14ac:dyDescent="0.35">
      <c r="A35" s="10" t="s">
        <v>68</v>
      </c>
      <c r="B35" s="15">
        <v>46125</v>
      </c>
      <c r="C35" s="15">
        <v>46132</v>
      </c>
      <c r="D35" s="11" t="s">
        <v>69</v>
      </c>
      <c r="E35" s="28" t="s">
        <v>54</v>
      </c>
      <c r="F35" s="11" t="s">
        <v>70</v>
      </c>
    </row>
    <row r="36" spans="1:6" x14ac:dyDescent="0.35">
      <c r="A36" s="10" t="s">
        <v>71</v>
      </c>
      <c r="B36" s="15">
        <v>46132</v>
      </c>
      <c r="C36" s="15">
        <v>46139</v>
      </c>
      <c r="D36" s="11" t="s">
        <v>72</v>
      </c>
      <c r="E36" s="28" t="s">
        <v>54</v>
      </c>
      <c r="F36" s="11" t="s">
        <v>73</v>
      </c>
    </row>
    <row r="37" spans="1:6" x14ac:dyDescent="0.35">
      <c r="A37" s="10" t="s">
        <v>74</v>
      </c>
      <c r="B37" s="15">
        <v>46139</v>
      </c>
      <c r="C37" s="15">
        <v>46146</v>
      </c>
      <c r="D37" s="11" t="s">
        <v>75</v>
      </c>
      <c r="E37" s="28" t="s">
        <v>54</v>
      </c>
      <c r="F37" s="11" t="s">
        <v>76</v>
      </c>
    </row>
    <row r="38" spans="1:6" x14ac:dyDescent="0.35">
      <c r="A38" s="10" t="s">
        <v>77</v>
      </c>
      <c r="B38" s="15">
        <v>46146</v>
      </c>
      <c r="C38" s="15">
        <v>46153</v>
      </c>
      <c r="D38" s="11" t="s">
        <v>78</v>
      </c>
      <c r="E38" s="28" t="s">
        <v>54</v>
      </c>
      <c r="F38" s="11" t="s">
        <v>79</v>
      </c>
    </row>
    <row r="39" spans="1:6" ht="26" x14ac:dyDescent="0.35">
      <c r="A39" s="10" t="s">
        <v>80</v>
      </c>
      <c r="B39" s="15">
        <v>46153</v>
      </c>
      <c r="C39" s="15">
        <v>46160</v>
      </c>
      <c r="D39" s="11" t="s">
        <v>81</v>
      </c>
      <c r="E39" s="19" t="s">
        <v>82</v>
      </c>
      <c r="F39" s="11" t="s">
        <v>83</v>
      </c>
    </row>
    <row r="40" spans="1:6" ht="26" x14ac:dyDescent="0.35">
      <c r="A40" s="10" t="s">
        <v>84</v>
      </c>
      <c r="B40" s="15">
        <v>46160</v>
      </c>
      <c r="C40" s="15">
        <v>46167</v>
      </c>
      <c r="D40" s="11" t="s">
        <v>85</v>
      </c>
      <c r="E40" s="31" t="s">
        <v>86</v>
      </c>
      <c r="F40" s="11" t="s">
        <v>87</v>
      </c>
    </row>
    <row r="41" spans="1:6" ht="26" x14ac:dyDescent="0.35">
      <c r="A41" s="10" t="s">
        <v>88</v>
      </c>
      <c r="B41" s="15">
        <v>46167</v>
      </c>
      <c r="C41" s="15">
        <v>46174</v>
      </c>
      <c r="D41" s="11" t="s">
        <v>89</v>
      </c>
      <c r="E41" s="31" t="s">
        <v>86</v>
      </c>
      <c r="F41" s="11" t="s">
        <v>90</v>
      </c>
    </row>
  </sheetData>
  <mergeCells count="4">
    <mergeCell ref="A26:F26"/>
    <mergeCell ref="A9:D9"/>
    <mergeCell ref="A17:E17"/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0"/>
  <sheetViews>
    <sheetView showGridLines="0" tabSelected="1" topLeftCell="D4" zoomScale="85" zoomScaleNormal="85" workbookViewId="0">
      <selection activeCell="U8" sqref="U8"/>
    </sheetView>
  </sheetViews>
  <sheetFormatPr defaultRowHeight="14.5" x14ac:dyDescent="0.35"/>
  <cols>
    <col min="1" max="1" width="7" customWidth="1"/>
    <col min="2" max="2" width="18" customWidth="1"/>
    <col min="3" max="3" width="34" customWidth="1"/>
    <col min="4" max="4" width="52" customWidth="1"/>
    <col min="5" max="6" width="12" customWidth="1"/>
    <col min="7" max="8" width="14" customWidth="1"/>
    <col min="9" max="9" width="10" customWidth="1"/>
    <col min="10" max="10" width="8" customWidth="1"/>
    <col min="11" max="11" width="11" customWidth="1"/>
    <col min="12" max="13" width="8" customWidth="1"/>
    <col min="14" max="17" width="9" customWidth="1"/>
    <col min="18" max="18" width="18" customWidth="1"/>
    <col min="19" max="19" width="24" customWidth="1"/>
    <col min="20" max="20" width="18" customWidth="1"/>
    <col min="21" max="24" width="10" customWidth="1"/>
  </cols>
  <sheetData>
    <row r="1" spans="1:24" ht="29" x14ac:dyDescent="0.35">
      <c r="A1" s="9" t="s">
        <v>91</v>
      </c>
      <c r="B1" s="9" t="s">
        <v>44</v>
      </c>
      <c r="C1" s="9" t="s">
        <v>92</v>
      </c>
      <c r="D1" s="9" t="s">
        <v>93</v>
      </c>
      <c r="E1" s="9" t="s">
        <v>94</v>
      </c>
      <c r="F1" s="9" t="s">
        <v>95</v>
      </c>
      <c r="G1" s="9" t="s">
        <v>96</v>
      </c>
      <c r="H1" s="9" t="s">
        <v>97</v>
      </c>
      <c r="I1" s="9" t="s">
        <v>98</v>
      </c>
      <c r="J1" s="9" t="s">
        <v>99</v>
      </c>
      <c r="K1" s="9" t="s">
        <v>100</v>
      </c>
      <c r="L1" s="9" t="s">
        <v>101</v>
      </c>
      <c r="M1" s="9" t="s">
        <v>102</v>
      </c>
      <c r="N1" s="9" t="s">
        <v>103</v>
      </c>
      <c r="O1" s="9" t="s">
        <v>104</v>
      </c>
      <c r="P1" s="9" t="s">
        <v>105</v>
      </c>
      <c r="Q1" s="9" t="s">
        <v>106</v>
      </c>
      <c r="R1" s="9" t="s">
        <v>107</v>
      </c>
      <c r="S1" s="9" t="s">
        <v>108</v>
      </c>
      <c r="T1" s="9" t="s">
        <v>37</v>
      </c>
      <c r="U1" s="9" t="s">
        <v>109</v>
      </c>
      <c r="V1" s="9" t="s">
        <v>110</v>
      </c>
      <c r="W1" s="9" t="s">
        <v>111</v>
      </c>
      <c r="X1" s="9" t="s">
        <v>112</v>
      </c>
    </row>
    <row r="2" spans="1:24" ht="32" customHeight="1" x14ac:dyDescent="0.35">
      <c r="A2" s="10" t="s">
        <v>113</v>
      </c>
      <c r="B2" s="11" t="s">
        <v>114</v>
      </c>
      <c r="C2" s="11" t="s">
        <v>115</v>
      </c>
      <c r="D2" s="11" t="s">
        <v>116</v>
      </c>
      <c r="E2" s="11">
        <v>1</v>
      </c>
      <c r="F2" s="11">
        <v>1</v>
      </c>
      <c r="G2" s="15">
        <v>46076</v>
      </c>
      <c r="H2" s="15">
        <v>46083</v>
      </c>
      <c r="I2" s="11">
        <f t="shared" ref="I2:I39" si="0">F2-E2+1</f>
        <v>1</v>
      </c>
      <c r="J2" s="32">
        <v>3</v>
      </c>
      <c r="K2" s="32">
        <v>2</v>
      </c>
      <c r="L2" s="32">
        <v>5</v>
      </c>
      <c r="M2" s="11">
        <f t="shared" ref="M2:M39" si="1">ROUND(J2*0.35+K2*0.3+L2*0.35,0)</f>
        <v>3</v>
      </c>
      <c r="N2" s="33">
        <v>0.25</v>
      </c>
      <c r="O2" s="33">
        <v>0.25</v>
      </c>
      <c r="P2" s="33">
        <v>0.25</v>
      </c>
      <c r="Q2" s="33">
        <v>0.25</v>
      </c>
      <c r="R2" s="34" t="s">
        <v>17</v>
      </c>
      <c r="S2" s="11" t="s">
        <v>117</v>
      </c>
      <c r="T2" s="13" t="s">
        <v>47</v>
      </c>
      <c r="U2" s="35">
        <f t="shared" ref="U2:U39" si="2">M2*N2</f>
        <v>0.75</v>
      </c>
      <c r="V2" s="35">
        <f t="shared" ref="V2:V39" si="3">M2*O2</f>
        <v>0.75</v>
      </c>
      <c r="W2" s="35">
        <f t="shared" ref="W2:W39" si="4">M2*P2</f>
        <v>0.75</v>
      </c>
      <c r="X2" s="35">
        <f t="shared" ref="X2:X39" si="5">M2*Q2</f>
        <v>0.75</v>
      </c>
    </row>
    <row r="3" spans="1:24" ht="32" customHeight="1" x14ac:dyDescent="0.35">
      <c r="A3" s="10" t="s">
        <v>118</v>
      </c>
      <c r="B3" s="11" t="s">
        <v>114</v>
      </c>
      <c r="C3" s="11" t="s">
        <v>119</v>
      </c>
      <c r="D3" s="11" t="s">
        <v>120</v>
      </c>
      <c r="E3" s="11">
        <v>1</v>
      </c>
      <c r="F3" s="11">
        <v>1</v>
      </c>
      <c r="G3" s="15">
        <v>46076</v>
      </c>
      <c r="H3" s="15">
        <v>46083</v>
      </c>
      <c r="I3" s="11">
        <f t="shared" si="0"/>
        <v>1</v>
      </c>
      <c r="J3" s="32">
        <v>4</v>
      </c>
      <c r="K3" s="32">
        <v>3</v>
      </c>
      <c r="L3" s="32">
        <v>7</v>
      </c>
      <c r="M3" s="11">
        <f t="shared" si="1"/>
        <v>5</v>
      </c>
      <c r="N3" s="33">
        <v>0.25</v>
      </c>
      <c r="O3" s="33">
        <v>0.25</v>
      </c>
      <c r="P3" s="33">
        <v>0.25</v>
      </c>
      <c r="Q3" s="33">
        <v>0.25</v>
      </c>
      <c r="R3" s="34" t="s">
        <v>17</v>
      </c>
      <c r="S3" s="11" t="s">
        <v>117</v>
      </c>
      <c r="T3" s="13" t="s">
        <v>47</v>
      </c>
      <c r="U3" s="35">
        <f t="shared" si="2"/>
        <v>1.25</v>
      </c>
      <c r="V3" s="35">
        <f t="shared" si="3"/>
        <v>1.25</v>
      </c>
      <c r="W3" s="35">
        <f t="shared" si="4"/>
        <v>1.25</v>
      </c>
      <c r="X3" s="35">
        <f t="shared" si="5"/>
        <v>1.25</v>
      </c>
    </row>
    <row r="4" spans="1:24" ht="32" customHeight="1" x14ac:dyDescent="0.35">
      <c r="A4" s="10" t="s">
        <v>121</v>
      </c>
      <c r="B4" s="11" t="s">
        <v>114</v>
      </c>
      <c r="C4" s="11" t="s">
        <v>122</v>
      </c>
      <c r="D4" s="11" t="s">
        <v>123</v>
      </c>
      <c r="E4" s="11">
        <v>1</v>
      </c>
      <c r="F4" s="11">
        <v>1</v>
      </c>
      <c r="G4" s="15">
        <v>46076</v>
      </c>
      <c r="H4" s="15">
        <v>46083</v>
      </c>
      <c r="I4" s="11">
        <f t="shared" si="0"/>
        <v>1</v>
      </c>
      <c r="J4" s="32">
        <v>5</v>
      </c>
      <c r="K4" s="32">
        <v>4</v>
      </c>
      <c r="L4" s="32">
        <v>8</v>
      </c>
      <c r="M4" s="11">
        <f t="shared" si="1"/>
        <v>6</v>
      </c>
      <c r="N4" s="33">
        <v>0.3</v>
      </c>
      <c r="O4" s="33">
        <v>0.3</v>
      </c>
      <c r="P4" s="33">
        <v>0.2</v>
      </c>
      <c r="Q4" s="33">
        <v>0.2</v>
      </c>
      <c r="R4" s="34" t="s">
        <v>17</v>
      </c>
      <c r="S4" s="11" t="s">
        <v>117</v>
      </c>
      <c r="T4" s="13" t="s">
        <v>47</v>
      </c>
      <c r="U4" s="35">
        <f t="shared" si="2"/>
        <v>1.7999999999999998</v>
      </c>
      <c r="V4" s="35">
        <f t="shared" si="3"/>
        <v>1.7999999999999998</v>
      </c>
      <c r="W4" s="35">
        <f t="shared" si="4"/>
        <v>1.2000000000000002</v>
      </c>
      <c r="X4" s="35">
        <f t="shared" si="5"/>
        <v>1.2000000000000002</v>
      </c>
    </row>
    <row r="5" spans="1:24" ht="32" customHeight="1" x14ac:dyDescent="0.35">
      <c r="A5" s="10" t="s">
        <v>124</v>
      </c>
      <c r="B5" s="11" t="s">
        <v>125</v>
      </c>
      <c r="C5" s="11" t="s">
        <v>126</v>
      </c>
      <c r="D5" s="11" t="s">
        <v>127</v>
      </c>
      <c r="E5" s="11">
        <v>2</v>
      </c>
      <c r="F5" s="11">
        <v>2</v>
      </c>
      <c r="G5" s="15">
        <v>46083</v>
      </c>
      <c r="H5" s="15">
        <v>46090</v>
      </c>
      <c r="I5" s="11">
        <f t="shared" si="0"/>
        <v>1</v>
      </c>
      <c r="J5" s="32">
        <v>4</v>
      </c>
      <c r="K5" s="32">
        <v>3</v>
      </c>
      <c r="L5" s="32">
        <v>7</v>
      </c>
      <c r="M5" s="11">
        <f t="shared" si="1"/>
        <v>5</v>
      </c>
      <c r="N5" s="33">
        <v>0.25</v>
      </c>
      <c r="O5" s="33">
        <v>0.25</v>
      </c>
      <c r="P5" s="33">
        <v>0.25</v>
      </c>
      <c r="Q5" s="33">
        <v>0.25</v>
      </c>
      <c r="R5" s="34" t="s">
        <v>17</v>
      </c>
      <c r="S5" s="11" t="s">
        <v>117</v>
      </c>
      <c r="T5" s="13" t="s">
        <v>47</v>
      </c>
      <c r="U5" s="35">
        <f t="shared" si="2"/>
        <v>1.25</v>
      </c>
      <c r="V5" s="35">
        <f t="shared" si="3"/>
        <v>1.25</v>
      </c>
      <c r="W5" s="35">
        <f t="shared" si="4"/>
        <v>1.25</v>
      </c>
      <c r="X5" s="35">
        <f t="shared" si="5"/>
        <v>1.25</v>
      </c>
    </row>
    <row r="6" spans="1:24" ht="32" customHeight="1" x14ac:dyDescent="0.35">
      <c r="A6" s="10" t="s">
        <v>128</v>
      </c>
      <c r="B6" s="11" t="s">
        <v>125</v>
      </c>
      <c r="C6" s="11" t="s">
        <v>129</v>
      </c>
      <c r="D6" s="11" t="s">
        <v>130</v>
      </c>
      <c r="E6" s="11">
        <v>2</v>
      </c>
      <c r="F6" s="11">
        <v>2</v>
      </c>
      <c r="G6" s="15">
        <v>46083</v>
      </c>
      <c r="H6" s="15">
        <v>46090</v>
      </c>
      <c r="I6" s="11">
        <f t="shared" si="0"/>
        <v>1</v>
      </c>
      <c r="J6" s="32">
        <v>5</v>
      </c>
      <c r="K6" s="32">
        <v>4</v>
      </c>
      <c r="L6" s="32">
        <v>8</v>
      </c>
      <c r="M6" s="11">
        <f t="shared" si="1"/>
        <v>6</v>
      </c>
      <c r="N6" s="33">
        <v>0.3</v>
      </c>
      <c r="O6" s="33">
        <v>0.25</v>
      </c>
      <c r="P6" s="33">
        <v>0.2</v>
      </c>
      <c r="Q6" s="33">
        <v>0.25</v>
      </c>
      <c r="R6" s="34" t="s">
        <v>17</v>
      </c>
      <c r="S6" s="11" t="s">
        <v>117</v>
      </c>
      <c r="T6" s="13" t="s">
        <v>47</v>
      </c>
      <c r="U6" s="35">
        <f t="shared" si="2"/>
        <v>1.7999999999999998</v>
      </c>
      <c r="V6" s="35">
        <f t="shared" si="3"/>
        <v>1.5</v>
      </c>
      <c r="W6" s="35">
        <f t="shared" si="4"/>
        <v>1.2000000000000002</v>
      </c>
      <c r="X6" s="35">
        <f t="shared" si="5"/>
        <v>1.5</v>
      </c>
    </row>
    <row r="7" spans="1:24" ht="32" customHeight="1" x14ac:dyDescent="0.35">
      <c r="A7" s="10" t="s">
        <v>131</v>
      </c>
      <c r="B7" s="11" t="s">
        <v>125</v>
      </c>
      <c r="C7" s="11" t="s">
        <v>132</v>
      </c>
      <c r="D7" s="11" t="s">
        <v>133</v>
      </c>
      <c r="E7" s="11">
        <v>2</v>
      </c>
      <c r="F7" s="11">
        <v>2</v>
      </c>
      <c r="G7" s="15">
        <v>46083</v>
      </c>
      <c r="H7" s="15">
        <v>46090</v>
      </c>
      <c r="I7" s="11">
        <f t="shared" si="0"/>
        <v>1</v>
      </c>
      <c r="J7" s="32">
        <v>5</v>
      </c>
      <c r="K7" s="32">
        <v>5</v>
      </c>
      <c r="L7" s="32">
        <v>8</v>
      </c>
      <c r="M7" s="11">
        <f t="shared" si="1"/>
        <v>6</v>
      </c>
      <c r="N7" s="33">
        <v>0.25</v>
      </c>
      <c r="O7" s="33">
        <v>0.2</v>
      </c>
      <c r="P7" s="33">
        <v>0.3</v>
      </c>
      <c r="Q7" s="33">
        <v>0.25</v>
      </c>
      <c r="R7" s="36" t="s">
        <v>25</v>
      </c>
      <c r="S7" s="11" t="s">
        <v>134</v>
      </c>
      <c r="T7" s="13" t="s">
        <v>47</v>
      </c>
      <c r="U7" s="35">
        <f t="shared" si="2"/>
        <v>1.5</v>
      </c>
      <c r="V7" s="35">
        <f t="shared" si="3"/>
        <v>1.2000000000000002</v>
      </c>
      <c r="W7" s="35">
        <f t="shared" si="4"/>
        <v>1.7999999999999998</v>
      </c>
      <c r="X7" s="35">
        <f t="shared" si="5"/>
        <v>1.5</v>
      </c>
    </row>
    <row r="8" spans="1:24" ht="32" customHeight="1" x14ac:dyDescent="0.35">
      <c r="A8" s="10" t="s">
        <v>135</v>
      </c>
      <c r="B8" s="11" t="s">
        <v>125</v>
      </c>
      <c r="C8" s="11" t="s">
        <v>136</v>
      </c>
      <c r="D8" s="11" t="s">
        <v>137</v>
      </c>
      <c r="E8" s="11">
        <v>2</v>
      </c>
      <c r="F8" s="11">
        <v>2</v>
      </c>
      <c r="G8" s="15">
        <v>46083</v>
      </c>
      <c r="H8" s="15">
        <v>46090</v>
      </c>
      <c r="I8" s="11">
        <f t="shared" si="0"/>
        <v>1</v>
      </c>
      <c r="J8" s="32">
        <v>3</v>
      </c>
      <c r="K8" s="32">
        <v>3</v>
      </c>
      <c r="L8" s="32">
        <v>5</v>
      </c>
      <c r="M8" s="11">
        <f t="shared" si="1"/>
        <v>4</v>
      </c>
      <c r="N8" s="33">
        <v>0.1</v>
      </c>
      <c r="O8" s="33">
        <v>0.15</v>
      </c>
      <c r="P8" s="33">
        <v>0.15</v>
      </c>
      <c r="Q8" s="33">
        <v>0.6</v>
      </c>
      <c r="R8" s="37" t="s">
        <v>29</v>
      </c>
      <c r="S8" s="11" t="s">
        <v>138</v>
      </c>
      <c r="T8" s="13" t="s">
        <v>47</v>
      </c>
      <c r="U8" s="35">
        <f t="shared" si="2"/>
        <v>0.4</v>
      </c>
      <c r="V8" s="35">
        <f t="shared" si="3"/>
        <v>0.6</v>
      </c>
      <c r="W8" s="35">
        <f t="shared" si="4"/>
        <v>0.6</v>
      </c>
      <c r="X8" s="35">
        <f t="shared" si="5"/>
        <v>2.4</v>
      </c>
    </row>
    <row r="9" spans="1:24" ht="32" customHeight="1" x14ac:dyDescent="0.35">
      <c r="A9" s="10" t="s">
        <v>139</v>
      </c>
      <c r="B9" s="11" t="s">
        <v>140</v>
      </c>
      <c r="C9" s="11" t="s">
        <v>141</v>
      </c>
      <c r="D9" s="11" t="s">
        <v>142</v>
      </c>
      <c r="E9" s="11">
        <v>3</v>
      </c>
      <c r="F9" s="11">
        <v>4</v>
      </c>
      <c r="G9" s="15">
        <v>46090</v>
      </c>
      <c r="H9" s="15">
        <v>46104</v>
      </c>
      <c r="I9" s="11">
        <f t="shared" si="0"/>
        <v>2</v>
      </c>
      <c r="J9" s="32">
        <v>6</v>
      </c>
      <c r="K9" s="32">
        <v>6</v>
      </c>
      <c r="L9" s="32">
        <v>8</v>
      </c>
      <c r="M9" s="11">
        <f t="shared" si="1"/>
        <v>7</v>
      </c>
      <c r="N9" s="33">
        <v>0.25</v>
      </c>
      <c r="O9" s="33">
        <v>0.25</v>
      </c>
      <c r="P9" s="33">
        <v>0.25</v>
      </c>
      <c r="Q9" s="33">
        <v>0.25</v>
      </c>
      <c r="R9" s="38" t="s">
        <v>285</v>
      </c>
      <c r="S9" s="11"/>
      <c r="T9" s="21" t="s">
        <v>287</v>
      </c>
      <c r="U9" s="35">
        <f t="shared" si="2"/>
        <v>1.75</v>
      </c>
      <c r="V9" s="35">
        <f t="shared" si="3"/>
        <v>1.75</v>
      </c>
      <c r="W9" s="35">
        <f t="shared" si="4"/>
        <v>1.75</v>
      </c>
      <c r="X9" s="35">
        <f t="shared" si="5"/>
        <v>1.75</v>
      </c>
    </row>
    <row r="10" spans="1:24" ht="32" customHeight="1" x14ac:dyDescent="0.35">
      <c r="A10" s="10" t="s">
        <v>143</v>
      </c>
      <c r="B10" s="11" t="s">
        <v>144</v>
      </c>
      <c r="C10" s="11" t="s">
        <v>145</v>
      </c>
      <c r="D10" s="11" t="s">
        <v>146</v>
      </c>
      <c r="E10" s="11">
        <v>3</v>
      </c>
      <c r="F10" s="11">
        <v>4</v>
      </c>
      <c r="G10" s="15">
        <v>46090</v>
      </c>
      <c r="H10" s="15">
        <v>46104</v>
      </c>
      <c r="I10" s="11">
        <f t="shared" si="0"/>
        <v>2</v>
      </c>
      <c r="J10" s="32">
        <v>7</v>
      </c>
      <c r="K10" s="32">
        <v>7</v>
      </c>
      <c r="L10" s="32">
        <v>9</v>
      </c>
      <c r="M10" s="11">
        <f t="shared" si="1"/>
        <v>8</v>
      </c>
      <c r="N10" s="33">
        <v>0.55000000000000004</v>
      </c>
      <c r="O10" s="33">
        <v>0.2</v>
      </c>
      <c r="P10" s="33">
        <v>0.15</v>
      </c>
      <c r="Q10" s="33">
        <v>0.1</v>
      </c>
      <c r="R10" s="34" t="s">
        <v>17</v>
      </c>
      <c r="S10" s="11" t="s">
        <v>21</v>
      </c>
      <c r="T10" s="13" t="s">
        <v>47</v>
      </c>
      <c r="U10" s="35">
        <f t="shared" si="2"/>
        <v>4.4000000000000004</v>
      </c>
      <c r="V10" s="35">
        <f t="shared" si="3"/>
        <v>1.6</v>
      </c>
      <c r="W10" s="35">
        <f t="shared" si="4"/>
        <v>1.2</v>
      </c>
      <c r="X10" s="35">
        <f t="shared" si="5"/>
        <v>0.8</v>
      </c>
    </row>
    <row r="11" spans="1:24" ht="32" customHeight="1" x14ac:dyDescent="0.35">
      <c r="A11" s="10" t="s">
        <v>147</v>
      </c>
      <c r="B11" s="11" t="s">
        <v>144</v>
      </c>
      <c r="C11" s="11" t="s">
        <v>148</v>
      </c>
      <c r="D11" s="11" t="s">
        <v>149</v>
      </c>
      <c r="E11" s="11">
        <v>3</v>
      </c>
      <c r="F11" s="11">
        <v>4</v>
      </c>
      <c r="G11" s="15">
        <v>46090</v>
      </c>
      <c r="H11" s="15">
        <v>46104</v>
      </c>
      <c r="I11" s="11">
        <f t="shared" si="0"/>
        <v>2</v>
      </c>
      <c r="J11" s="32">
        <v>7</v>
      </c>
      <c r="K11" s="32">
        <v>7</v>
      </c>
      <c r="L11" s="32">
        <v>9</v>
      </c>
      <c r="M11" s="11">
        <f t="shared" si="1"/>
        <v>8</v>
      </c>
      <c r="N11" s="33">
        <v>0.25</v>
      </c>
      <c r="O11" s="33">
        <v>0.15</v>
      </c>
      <c r="P11" s="33">
        <v>0.5</v>
      </c>
      <c r="Q11" s="33">
        <v>0.1</v>
      </c>
      <c r="R11" s="36" t="s">
        <v>25</v>
      </c>
      <c r="S11" s="11" t="s">
        <v>17</v>
      </c>
      <c r="T11" s="21" t="s">
        <v>287</v>
      </c>
      <c r="U11" s="35">
        <f t="shared" si="2"/>
        <v>2</v>
      </c>
      <c r="V11" s="35">
        <f t="shared" si="3"/>
        <v>1.2</v>
      </c>
      <c r="W11" s="35">
        <f t="shared" si="4"/>
        <v>4</v>
      </c>
      <c r="X11" s="35">
        <f t="shared" si="5"/>
        <v>0.8</v>
      </c>
    </row>
    <row r="12" spans="1:24" ht="32" customHeight="1" x14ac:dyDescent="0.35">
      <c r="A12" s="10" t="s">
        <v>150</v>
      </c>
      <c r="B12" s="11" t="s">
        <v>151</v>
      </c>
      <c r="C12" s="11" t="s">
        <v>152</v>
      </c>
      <c r="D12" s="11" t="s">
        <v>153</v>
      </c>
      <c r="E12" s="11">
        <v>3</v>
      </c>
      <c r="F12" s="11">
        <v>3</v>
      </c>
      <c r="G12" s="15">
        <v>46090</v>
      </c>
      <c r="H12" s="15">
        <v>46097</v>
      </c>
      <c r="I12" s="11">
        <f t="shared" si="0"/>
        <v>1</v>
      </c>
      <c r="J12" s="32">
        <v>4</v>
      </c>
      <c r="K12" s="32">
        <v>3</v>
      </c>
      <c r="L12" s="32">
        <v>6</v>
      </c>
      <c r="M12" s="11">
        <f t="shared" si="1"/>
        <v>4</v>
      </c>
      <c r="N12" s="33">
        <v>0.1</v>
      </c>
      <c r="O12" s="33">
        <v>0.2</v>
      </c>
      <c r="P12" s="33">
        <v>0.1</v>
      </c>
      <c r="Q12" s="33">
        <v>0.6</v>
      </c>
      <c r="R12" s="37" t="s">
        <v>29</v>
      </c>
      <c r="S12" s="11" t="s">
        <v>21</v>
      </c>
      <c r="T12" s="21" t="s">
        <v>287</v>
      </c>
      <c r="U12" s="35">
        <f t="shared" si="2"/>
        <v>0.4</v>
      </c>
      <c r="V12" s="35">
        <f t="shared" si="3"/>
        <v>0.8</v>
      </c>
      <c r="W12" s="35">
        <f t="shared" si="4"/>
        <v>0.4</v>
      </c>
      <c r="X12" s="35">
        <f t="shared" si="5"/>
        <v>2.4</v>
      </c>
    </row>
    <row r="13" spans="1:24" ht="32" customHeight="1" x14ac:dyDescent="0.35">
      <c r="A13" s="10" t="s">
        <v>154</v>
      </c>
      <c r="B13" s="11" t="s">
        <v>155</v>
      </c>
      <c r="C13" s="11" t="s">
        <v>156</v>
      </c>
      <c r="D13" s="11" t="s">
        <v>157</v>
      </c>
      <c r="E13" s="11">
        <v>4</v>
      </c>
      <c r="F13" s="11">
        <v>5</v>
      </c>
      <c r="G13" s="15">
        <v>46097</v>
      </c>
      <c r="H13" s="15">
        <v>46111</v>
      </c>
      <c r="I13" s="11">
        <f t="shared" si="0"/>
        <v>2</v>
      </c>
      <c r="J13" s="32">
        <v>7</v>
      </c>
      <c r="K13" s="32">
        <v>7</v>
      </c>
      <c r="L13" s="32">
        <v>9</v>
      </c>
      <c r="M13" s="11">
        <f t="shared" si="1"/>
        <v>8</v>
      </c>
      <c r="N13" s="33">
        <v>0.3</v>
      </c>
      <c r="O13" s="33">
        <v>0.45</v>
      </c>
      <c r="P13" s="33">
        <v>0.15</v>
      </c>
      <c r="Q13" s="33">
        <v>0.1</v>
      </c>
      <c r="R13" s="39" t="s">
        <v>21</v>
      </c>
      <c r="S13" s="11" t="s">
        <v>17</v>
      </c>
      <c r="T13" s="21" t="s">
        <v>287</v>
      </c>
      <c r="U13" s="35">
        <f t="shared" si="2"/>
        <v>2.4</v>
      </c>
      <c r="V13" s="35">
        <f t="shared" si="3"/>
        <v>3.6</v>
      </c>
      <c r="W13" s="35">
        <f t="shared" si="4"/>
        <v>1.2</v>
      </c>
      <c r="X13" s="35">
        <f t="shared" si="5"/>
        <v>0.8</v>
      </c>
    </row>
    <row r="14" spans="1:24" ht="32" customHeight="1" x14ac:dyDescent="0.35">
      <c r="A14" s="10" t="s">
        <v>158</v>
      </c>
      <c r="B14" s="11" t="s">
        <v>66</v>
      </c>
      <c r="C14" s="11" t="s">
        <v>159</v>
      </c>
      <c r="D14" s="11" t="s">
        <v>160</v>
      </c>
      <c r="E14" s="11">
        <v>4</v>
      </c>
      <c r="F14" s="11">
        <v>5</v>
      </c>
      <c r="G14" s="15">
        <v>46097</v>
      </c>
      <c r="H14" s="15">
        <v>46111</v>
      </c>
      <c r="I14" s="11">
        <f t="shared" si="0"/>
        <v>2</v>
      </c>
      <c r="J14" s="32">
        <v>7</v>
      </c>
      <c r="K14" s="32">
        <v>6</v>
      </c>
      <c r="L14" s="32">
        <v>8</v>
      </c>
      <c r="M14" s="11">
        <f t="shared" si="1"/>
        <v>7</v>
      </c>
      <c r="N14" s="33">
        <v>0.2</v>
      </c>
      <c r="O14" s="33">
        <v>0.15</v>
      </c>
      <c r="P14" s="33">
        <v>0.55000000000000004</v>
      </c>
      <c r="Q14" s="33">
        <v>0.1</v>
      </c>
      <c r="R14" s="36" t="s">
        <v>25</v>
      </c>
      <c r="S14" s="11" t="s">
        <v>17</v>
      </c>
      <c r="T14" s="21" t="s">
        <v>287</v>
      </c>
      <c r="U14" s="35">
        <f t="shared" si="2"/>
        <v>1.4000000000000001</v>
      </c>
      <c r="V14" s="35">
        <f t="shared" si="3"/>
        <v>1.05</v>
      </c>
      <c r="W14" s="35">
        <f t="shared" si="4"/>
        <v>3.8500000000000005</v>
      </c>
      <c r="X14" s="35">
        <f t="shared" si="5"/>
        <v>0.70000000000000007</v>
      </c>
    </row>
    <row r="15" spans="1:24" ht="32" customHeight="1" x14ac:dyDescent="0.35">
      <c r="A15" s="10" t="s">
        <v>161</v>
      </c>
      <c r="B15" s="11" t="s">
        <v>162</v>
      </c>
      <c r="C15" s="11" t="s">
        <v>163</v>
      </c>
      <c r="D15" s="11" t="s">
        <v>164</v>
      </c>
      <c r="E15" s="11">
        <v>4</v>
      </c>
      <c r="F15" s="11">
        <v>5</v>
      </c>
      <c r="G15" s="15">
        <v>46097</v>
      </c>
      <c r="H15" s="15">
        <v>46111</v>
      </c>
      <c r="I15" s="11">
        <f t="shared" si="0"/>
        <v>2</v>
      </c>
      <c r="J15" s="32">
        <v>5</v>
      </c>
      <c r="K15" s="32">
        <v>5</v>
      </c>
      <c r="L15" s="32">
        <v>7</v>
      </c>
      <c r="M15" s="11">
        <f t="shared" si="1"/>
        <v>6</v>
      </c>
      <c r="N15" s="33">
        <v>0.25</v>
      </c>
      <c r="O15" s="33">
        <v>0.5</v>
      </c>
      <c r="P15" s="33">
        <v>0.1</v>
      </c>
      <c r="Q15" s="33">
        <v>0.15</v>
      </c>
      <c r="R15" s="39" t="s">
        <v>21</v>
      </c>
      <c r="S15" s="11" t="s">
        <v>17</v>
      </c>
      <c r="T15" s="21" t="s">
        <v>287</v>
      </c>
      <c r="U15" s="35">
        <f t="shared" si="2"/>
        <v>1.5</v>
      </c>
      <c r="V15" s="35">
        <f t="shared" si="3"/>
        <v>3</v>
      </c>
      <c r="W15" s="35">
        <f t="shared" si="4"/>
        <v>0.60000000000000009</v>
      </c>
      <c r="X15" s="35">
        <f t="shared" si="5"/>
        <v>0.89999999999999991</v>
      </c>
    </row>
    <row r="16" spans="1:24" ht="32" customHeight="1" x14ac:dyDescent="0.35">
      <c r="A16" s="10" t="s">
        <v>165</v>
      </c>
      <c r="B16" s="11" t="s">
        <v>166</v>
      </c>
      <c r="C16" s="11" t="s">
        <v>167</v>
      </c>
      <c r="D16" s="11" t="s">
        <v>168</v>
      </c>
      <c r="E16" s="11">
        <v>5</v>
      </c>
      <c r="F16" s="11">
        <v>6</v>
      </c>
      <c r="G16" s="15">
        <v>46104</v>
      </c>
      <c r="H16" s="15">
        <v>46118</v>
      </c>
      <c r="I16" s="11">
        <f t="shared" si="0"/>
        <v>2</v>
      </c>
      <c r="J16" s="32">
        <v>7</v>
      </c>
      <c r="K16" s="32">
        <v>6</v>
      </c>
      <c r="L16" s="32">
        <v>9</v>
      </c>
      <c r="M16" s="11">
        <f t="shared" si="1"/>
        <v>7</v>
      </c>
      <c r="N16" s="33">
        <v>0.35</v>
      </c>
      <c r="O16" s="33">
        <v>0.2</v>
      </c>
      <c r="P16" s="33">
        <v>0.15</v>
      </c>
      <c r="Q16" s="33">
        <v>0.3</v>
      </c>
      <c r="R16" s="34" t="s">
        <v>17</v>
      </c>
      <c r="S16" s="11" t="s">
        <v>169</v>
      </c>
      <c r="T16" s="21" t="s">
        <v>287</v>
      </c>
      <c r="U16" s="35">
        <f t="shared" si="2"/>
        <v>2.4499999999999997</v>
      </c>
      <c r="V16" s="35">
        <f t="shared" si="3"/>
        <v>1.4000000000000001</v>
      </c>
      <c r="W16" s="35">
        <f t="shared" si="4"/>
        <v>1.05</v>
      </c>
      <c r="X16" s="35">
        <f t="shared" si="5"/>
        <v>2.1</v>
      </c>
    </row>
    <row r="17" spans="1:24" ht="32" customHeight="1" x14ac:dyDescent="0.35">
      <c r="A17" s="10" t="s">
        <v>170</v>
      </c>
      <c r="B17" s="11" t="s">
        <v>171</v>
      </c>
      <c r="C17" s="11" t="s">
        <v>172</v>
      </c>
      <c r="D17" s="11" t="s">
        <v>173</v>
      </c>
      <c r="E17" s="11">
        <v>5</v>
      </c>
      <c r="F17" s="11">
        <v>7</v>
      </c>
      <c r="G17" s="15">
        <v>46104</v>
      </c>
      <c r="H17" s="15">
        <v>46125</v>
      </c>
      <c r="I17" s="11">
        <f t="shared" si="0"/>
        <v>3</v>
      </c>
      <c r="J17" s="32">
        <v>6</v>
      </c>
      <c r="K17" s="32">
        <v>7</v>
      </c>
      <c r="L17" s="32">
        <v>8</v>
      </c>
      <c r="M17" s="11">
        <f t="shared" si="1"/>
        <v>7</v>
      </c>
      <c r="N17" s="33">
        <v>0.1</v>
      </c>
      <c r="O17" s="33">
        <v>0.1</v>
      </c>
      <c r="P17" s="33">
        <v>0.1</v>
      </c>
      <c r="Q17" s="33">
        <v>0.7</v>
      </c>
      <c r="R17" s="37" t="s">
        <v>29</v>
      </c>
      <c r="S17" s="11" t="s">
        <v>138</v>
      </c>
      <c r="T17" s="21" t="s">
        <v>287</v>
      </c>
      <c r="U17" s="35">
        <f t="shared" si="2"/>
        <v>0.70000000000000007</v>
      </c>
      <c r="V17" s="35">
        <f t="shared" si="3"/>
        <v>0.70000000000000007</v>
      </c>
      <c r="W17" s="35">
        <f t="shared" si="4"/>
        <v>0.70000000000000007</v>
      </c>
      <c r="X17" s="35">
        <f t="shared" si="5"/>
        <v>4.8999999999999995</v>
      </c>
    </row>
    <row r="18" spans="1:24" ht="32" customHeight="1" x14ac:dyDescent="0.35">
      <c r="A18" s="10" t="s">
        <v>174</v>
      </c>
      <c r="B18" s="11" t="s">
        <v>175</v>
      </c>
      <c r="C18" s="11" t="s">
        <v>176</v>
      </c>
      <c r="D18" s="11" t="s">
        <v>177</v>
      </c>
      <c r="E18" s="11">
        <v>5</v>
      </c>
      <c r="F18" s="11">
        <v>6</v>
      </c>
      <c r="G18" s="15">
        <v>46104</v>
      </c>
      <c r="H18" s="15">
        <v>46118</v>
      </c>
      <c r="I18" s="11">
        <f t="shared" si="0"/>
        <v>2</v>
      </c>
      <c r="J18" s="32">
        <v>6</v>
      </c>
      <c r="K18" s="32">
        <v>6</v>
      </c>
      <c r="L18" s="32">
        <v>8</v>
      </c>
      <c r="M18" s="11">
        <f t="shared" si="1"/>
        <v>7</v>
      </c>
      <c r="N18" s="33">
        <v>0.2</v>
      </c>
      <c r="O18" s="33">
        <v>0.55000000000000004</v>
      </c>
      <c r="P18" s="33">
        <v>0.1</v>
      </c>
      <c r="Q18" s="33">
        <v>0.15</v>
      </c>
      <c r="R18" s="39" t="s">
        <v>21</v>
      </c>
      <c r="S18" s="11" t="s">
        <v>17</v>
      </c>
      <c r="T18" s="21" t="s">
        <v>287</v>
      </c>
      <c r="U18" s="35">
        <f t="shared" si="2"/>
        <v>1.4000000000000001</v>
      </c>
      <c r="V18" s="35">
        <f t="shared" si="3"/>
        <v>3.8500000000000005</v>
      </c>
      <c r="W18" s="35">
        <f t="shared" si="4"/>
        <v>0.70000000000000007</v>
      </c>
      <c r="X18" s="35">
        <f t="shared" si="5"/>
        <v>1.05</v>
      </c>
    </row>
    <row r="19" spans="1:24" ht="32" customHeight="1" x14ac:dyDescent="0.35">
      <c r="A19" s="10" t="s">
        <v>178</v>
      </c>
      <c r="B19" s="11" t="s">
        <v>179</v>
      </c>
      <c r="C19" s="11" t="s">
        <v>180</v>
      </c>
      <c r="D19" s="11" t="s">
        <v>181</v>
      </c>
      <c r="E19" s="11">
        <v>6</v>
      </c>
      <c r="F19" s="11">
        <v>7</v>
      </c>
      <c r="G19" s="15">
        <v>46111</v>
      </c>
      <c r="H19" s="15">
        <v>46125</v>
      </c>
      <c r="I19" s="11">
        <f t="shared" si="0"/>
        <v>2</v>
      </c>
      <c r="J19" s="32">
        <v>7</v>
      </c>
      <c r="K19" s="32">
        <v>6</v>
      </c>
      <c r="L19" s="32">
        <v>9</v>
      </c>
      <c r="M19" s="11">
        <f t="shared" si="1"/>
        <v>7</v>
      </c>
      <c r="N19" s="33">
        <v>0.45</v>
      </c>
      <c r="O19" s="33">
        <v>0.2</v>
      </c>
      <c r="P19" s="33">
        <v>0.2</v>
      </c>
      <c r="Q19" s="33">
        <v>0.15</v>
      </c>
      <c r="R19" s="34" t="s">
        <v>17</v>
      </c>
      <c r="S19" s="11" t="s">
        <v>182</v>
      </c>
      <c r="T19" s="21" t="s">
        <v>287</v>
      </c>
      <c r="U19" s="35">
        <f t="shared" si="2"/>
        <v>3.15</v>
      </c>
      <c r="V19" s="35">
        <f t="shared" si="3"/>
        <v>1.4000000000000001</v>
      </c>
      <c r="W19" s="35">
        <f t="shared" si="4"/>
        <v>1.4000000000000001</v>
      </c>
      <c r="X19" s="35">
        <f t="shared" si="5"/>
        <v>1.05</v>
      </c>
    </row>
    <row r="20" spans="1:24" ht="32" customHeight="1" x14ac:dyDescent="0.35">
      <c r="A20" s="10" t="s">
        <v>183</v>
      </c>
      <c r="B20" s="11" t="s">
        <v>184</v>
      </c>
      <c r="C20" s="11" t="s">
        <v>185</v>
      </c>
      <c r="D20" s="11" t="s">
        <v>186</v>
      </c>
      <c r="E20" s="11">
        <v>6</v>
      </c>
      <c r="F20" s="11">
        <v>8</v>
      </c>
      <c r="G20" s="15">
        <v>46111</v>
      </c>
      <c r="H20" s="15">
        <v>46132</v>
      </c>
      <c r="I20" s="11">
        <f t="shared" si="0"/>
        <v>3</v>
      </c>
      <c r="J20" s="32">
        <v>8</v>
      </c>
      <c r="K20" s="32">
        <v>7</v>
      </c>
      <c r="L20" s="32">
        <v>9</v>
      </c>
      <c r="M20" s="11">
        <f t="shared" si="1"/>
        <v>8</v>
      </c>
      <c r="N20" s="33">
        <v>0.3</v>
      </c>
      <c r="O20" s="33">
        <v>0.1</v>
      </c>
      <c r="P20" s="33">
        <v>0.4</v>
      </c>
      <c r="Q20" s="33">
        <v>0.2</v>
      </c>
      <c r="R20" s="36" t="s">
        <v>25</v>
      </c>
      <c r="S20" s="11" t="s">
        <v>187</v>
      </c>
      <c r="T20" s="21" t="s">
        <v>287</v>
      </c>
      <c r="U20" s="35">
        <f t="shared" si="2"/>
        <v>2.4</v>
      </c>
      <c r="V20" s="35">
        <f t="shared" si="3"/>
        <v>0.8</v>
      </c>
      <c r="W20" s="35">
        <f t="shared" si="4"/>
        <v>3.2</v>
      </c>
      <c r="X20" s="35">
        <f t="shared" si="5"/>
        <v>1.6</v>
      </c>
    </row>
    <row r="21" spans="1:24" ht="32" customHeight="1" x14ac:dyDescent="0.35">
      <c r="A21" s="10" t="s">
        <v>188</v>
      </c>
      <c r="B21" s="11" t="s">
        <v>189</v>
      </c>
      <c r="C21" s="11" t="s">
        <v>190</v>
      </c>
      <c r="D21" s="11" t="s">
        <v>191</v>
      </c>
      <c r="E21" s="11">
        <v>6</v>
      </c>
      <c r="F21" s="11">
        <v>8</v>
      </c>
      <c r="G21" s="15">
        <v>46111</v>
      </c>
      <c r="H21" s="15">
        <v>46132</v>
      </c>
      <c r="I21" s="11">
        <f t="shared" si="0"/>
        <v>3</v>
      </c>
      <c r="J21" s="32">
        <v>6</v>
      </c>
      <c r="K21" s="32">
        <v>6</v>
      </c>
      <c r="L21" s="32">
        <v>8</v>
      </c>
      <c r="M21" s="11">
        <f t="shared" si="1"/>
        <v>7</v>
      </c>
      <c r="N21" s="33">
        <v>0.2</v>
      </c>
      <c r="O21" s="33">
        <v>0.35</v>
      </c>
      <c r="P21" s="33">
        <v>0.15</v>
      </c>
      <c r="Q21" s="33">
        <v>0.3</v>
      </c>
      <c r="R21" s="39" t="s">
        <v>21</v>
      </c>
      <c r="S21" s="11" t="s">
        <v>187</v>
      </c>
      <c r="T21" s="21" t="s">
        <v>287</v>
      </c>
      <c r="U21" s="35">
        <f t="shared" si="2"/>
        <v>1.4000000000000001</v>
      </c>
      <c r="V21" s="35">
        <f t="shared" si="3"/>
        <v>2.4499999999999997</v>
      </c>
      <c r="W21" s="35">
        <f t="shared" si="4"/>
        <v>1.05</v>
      </c>
      <c r="X21" s="35">
        <f t="shared" si="5"/>
        <v>2.1</v>
      </c>
    </row>
    <row r="22" spans="1:24" ht="32" customHeight="1" x14ac:dyDescent="0.35">
      <c r="A22" s="10" t="s">
        <v>192</v>
      </c>
      <c r="B22" s="11" t="s">
        <v>66</v>
      </c>
      <c r="C22" s="11" t="s">
        <v>193</v>
      </c>
      <c r="D22" s="11" t="s">
        <v>194</v>
      </c>
      <c r="E22" s="11">
        <v>7</v>
      </c>
      <c r="F22" s="11">
        <v>9</v>
      </c>
      <c r="G22" s="15">
        <v>46118</v>
      </c>
      <c r="H22" s="15">
        <v>46139</v>
      </c>
      <c r="I22" s="11">
        <f t="shared" si="0"/>
        <v>3</v>
      </c>
      <c r="J22" s="32">
        <v>8</v>
      </c>
      <c r="K22" s="32">
        <v>8</v>
      </c>
      <c r="L22" s="32">
        <v>9</v>
      </c>
      <c r="M22" s="11">
        <f t="shared" si="1"/>
        <v>8</v>
      </c>
      <c r="N22" s="33">
        <v>0.15</v>
      </c>
      <c r="O22" s="33">
        <v>0.1</v>
      </c>
      <c r="P22" s="33">
        <v>0.5</v>
      </c>
      <c r="Q22" s="33">
        <v>0.25</v>
      </c>
      <c r="R22" s="36" t="s">
        <v>25</v>
      </c>
      <c r="S22" s="11" t="s">
        <v>29</v>
      </c>
      <c r="T22" s="21" t="s">
        <v>287</v>
      </c>
      <c r="U22" s="35">
        <f t="shared" si="2"/>
        <v>1.2</v>
      </c>
      <c r="V22" s="35">
        <f t="shared" si="3"/>
        <v>0.8</v>
      </c>
      <c r="W22" s="35">
        <f t="shared" si="4"/>
        <v>4</v>
      </c>
      <c r="X22" s="35">
        <f t="shared" si="5"/>
        <v>2</v>
      </c>
    </row>
    <row r="23" spans="1:24" ht="32" customHeight="1" x14ac:dyDescent="0.35">
      <c r="A23" s="10" t="s">
        <v>195</v>
      </c>
      <c r="B23" s="11" t="s">
        <v>196</v>
      </c>
      <c r="C23" s="11" t="s">
        <v>197</v>
      </c>
      <c r="D23" s="11" t="s">
        <v>198</v>
      </c>
      <c r="E23" s="11">
        <v>7</v>
      </c>
      <c r="F23" s="11">
        <v>8</v>
      </c>
      <c r="G23" s="15">
        <v>46118</v>
      </c>
      <c r="H23" s="15">
        <v>46132</v>
      </c>
      <c r="I23" s="11">
        <f t="shared" si="0"/>
        <v>2</v>
      </c>
      <c r="J23" s="32">
        <v>6</v>
      </c>
      <c r="K23" s="32">
        <v>5</v>
      </c>
      <c r="L23" s="32">
        <v>8</v>
      </c>
      <c r="M23" s="11">
        <f t="shared" si="1"/>
        <v>6</v>
      </c>
      <c r="N23" s="33">
        <v>0.45</v>
      </c>
      <c r="O23" s="33">
        <v>0.1</v>
      </c>
      <c r="P23" s="33">
        <v>0.35</v>
      </c>
      <c r="Q23" s="33">
        <v>0.1</v>
      </c>
      <c r="R23" s="34" t="s">
        <v>17</v>
      </c>
      <c r="S23" s="11" t="s">
        <v>25</v>
      </c>
      <c r="T23" s="21" t="s">
        <v>287</v>
      </c>
      <c r="U23" s="35">
        <f t="shared" si="2"/>
        <v>2.7</v>
      </c>
      <c r="V23" s="35">
        <f t="shared" si="3"/>
        <v>0.60000000000000009</v>
      </c>
      <c r="W23" s="35">
        <f t="shared" si="4"/>
        <v>2.0999999999999996</v>
      </c>
      <c r="X23" s="35">
        <f t="shared" si="5"/>
        <v>0.60000000000000009</v>
      </c>
    </row>
    <row r="24" spans="1:24" ht="32" customHeight="1" x14ac:dyDescent="0.35">
      <c r="A24" s="10" t="s">
        <v>199</v>
      </c>
      <c r="B24" s="11" t="s">
        <v>200</v>
      </c>
      <c r="C24" s="11" t="s">
        <v>201</v>
      </c>
      <c r="D24" s="11" t="s">
        <v>202</v>
      </c>
      <c r="E24" s="11">
        <v>8</v>
      </c>
      <c r="F24" s="11">
        <v>9</v>
      </c>
      <c r="G24" s="15">
        <v>46125</v>
      </c>
      <c r="H24" s="15">
        <v>46139</v>
      </c>
      <c r="I24" s="11">
        <f t="shared" si="0"/>
        <v>2</v>
      </c>
      <c r="J24" s="32">
        <v>9</v>
      </c>
      <c r="K24" s="32">
        <v>8</v>
      </c>
      <c r="L24" s="32">
        <v>10</v>
      </c>
      <c r="M24" s="11">
        <f t="shared" si="1"/>
        <v>9</v>
      </c>
      <c r="N24" s="33">
        <v>0.2</v>
      </c>
      <c r="O24" s="33">
        <v>0.2</v>
      </c>
      <c r="P24" s="33">
        <v>0.4</v>
      </c>
      <c r="Q24" s="33">
        <v>0.2</v>
      </c>
      <c r="R24" s="36" t="s">
        <v>25</v>
      </c>
      <c r="S24" s="11" t="s">
        <v>134</v>
      </c>
      <c r="T24" s="28" t="s">
        <v>54</v>
      </c>
      <c r="U24" s="35">
        <f t="shared" si="2"/>
        <v>1.8</v>
      </c>
      <c r="V24" s="35">
        <f t="shared" si="3"/>
        <v>1.8</v>
      </c>
      <c r="W24" s="35">
        <f t="shared" si="4"/>
        <v>3.6</v>
      </c>
      <c r="X24" s="35">
        <f t="shared" si="5"/>
        <v>1.8</v>
      </c>
    </row>
    <row r="25" spans="1:24" ht="32" customHeight="1" x14ac:dyDescent="0.35">
      <c r="A25" s="10" t="s">
        <v>203</v>
      </c>
      <c r="B25" s="11" t="s">
        <v>204</v>
      </c>
      <c r="C25" s="11" t="s">
        <v>205</v>
      </c>
      <c r="D25" s="11" t="s">
        <v>206</v>
      </c>
      <c r="E25" s="11">
        <v>8</v>
      </c>
      <c r="F25" s="11">
        <v>9</v>
      </c>
      <c r="G25" s="15">
        <v>46125</v>
      </c>
      <c r="H25" s="15">
        <v>46139</v>
      </c>
      <c r="I25" s="11">
        <f t="shared" si="0"/>
        <v>2</v>
      </c>
      <c r="J25" s="32">
        <v>7</v>
      </c>
      <c r="K25" s="32">
        <v>6</v>
      </c>
      <c r="L25" s="32">
        <v>8</v>
      </c>
      <c r="M25" s="11">
        <f t="shared" si="1"/>
        <v>7</v>
      </c>
      <c r="N25" s="33">
        <v>0.25</v>
      </c>
      <c r="O25" s="33">
        <v>0.35</v>
      </c>
      <c r="P25" s="33">
        <v>0.15</v>
      </c>
      <c r="Q25" s="33">
        <v>0.25</v>
      </c>
      <c r="R25" s="39" t="s">
        <v>21</v>
      </c>
      <c r="S25" s="11" t="s">
        <v>187</v>
      </c>
      <c r="T25" s="28" t="s">
        <v>54</v>
      </c>
      <c r="U25" s="35">
        <f t="shared" si="2"/>
        <v>1.75</v>
      </c>
      <c r="V25" s="35">
        <f t="shared" si="3"/>
        <v>2.4499999999999997</v>
      </c>
      <c r="W25" s="35">
        <f t="shared" si="4"/>
        <v>1.05</v>
      </c>
      <c r="X25" s="35">
        <f t="shared" si="5"/>
        <v>1.75</v>
      </c>
    </row>
    <row r="26" spans="1:24" ht="32" customHeight="1" x14ac:dyDescent="0.35">
      <c r="A26" s="10" t="s">
        <v>207</v>
      </c>
      <c r="B26" s="11" t="s">
        <v>208</v>
      </c>
      <c r="C26" s="11" t="s">
        <v>209</v>
      </c>
      <c r="D26" s="11" t="s">
        <v>210</v>
      </c>
      <c r="E26" s="11">
        <v>9</v>
      </c>
      <c r="F26" s="11">
        <v>10</v>
      </c>
      <c r="G26" s="15">
        <v>46132</v>
      </c>
      <c r="H26" s="15">
        <v>46146</v>
      </c>
      <c r="I26" s="11">
        <f t="shared" si="0"/>
        <v>2</v>
      </c>
      <c r="J26" s="32">
        <v>8</v>
      </c>
      <c r="K26" s="32">
        <v>7</v>
      </c>
      <c r="L26" s="32">
        <v>9</v>
      </c>
      <c r="M26" s="11">
        <f t="shared" si="1"/>
        <v>8</v>
      </c>
      <c r="N26" s="33">
        <v>0.15</v>
      </c>
      <c r="O26" s="33">
        <v>0.3</v>
      </c>
      <c r="P26" s="33">
        <v>0.3</v>
      </c>
      <c r="Q26" s="33">
        <v>0.25</v>
      </c>
      <c r="R26" s="39" t="s">
        <v>21</v>
      </c>
      <c r="S26" s="11" t="s">
        <v>211</v>
      </c>
      <c r="T26" s="28" t="s">
        <v>54</v>
      </c>
      <c r="U26" s="35">
        <f t="shared" si="2"/>
        <v>1.2</v>
      </c>
      <c r="V26" s="35">
        <f t="shared" si="3"/>
        <v>2.4</v>
      </c>
      <c r="W26" s="35">
        <f t="shared" si="4"/>
        <v>2.4</v>
      </c>
      <c r="X26" s="35">
        <f t="shared" si="5"/>
        <v>2</v>
      </c>
    </row>
    <row r="27" spans="1:24" ht="32" customHeight="1" x14ac:dyDescent="0.35">
      <c r="A27" s="10" t="s">
        <v>212</v>
      </c>
      <c r="B27" s="11" t="s">
        <v>213</v>
      </c>
      <c r="C27" s="11" t="s">
        <v>214</v>
      </c>
      <c r="D27" s="11" t="s">
        <v>215</v>
      </c>
      <c r="E27" s="11">
        <v>9</v>
      </c>
      <c r="F27" s="11">
        <v>11</v>
      </c>
      <c r="G27" s="15">
        <v>46132</v>
      </c>
      <c r="H27" s="15">
        <v>46153</v>
      </c>
      <c r="I27" s="11">
        <f t="shared" si="0"/>
        <v>3</v>
      </c>
      <c r="J27" s="32">
        <v>8</v>
      </c>
      <c r="K27" s="32">
        <v>8</v>
      </c>
      <c r="L27" s="32">
        <v>9</v>
      </c>
      <c r="M27" s="11">
        <f t="shared" si="1"/>
        <v>8</v>
      </c>
      <c r="N27" s="33">
        <v>0.15</v>
      </c>
      <c r="O27" s="33">
        <v>0.1</v>
      </c>
      <c r="P27" s="33">
        <v>0.45</v>
      </c>
      <c r="Q27" s="33">
        <v>0.3</v>
      </c>
      <c r="R27" s="36" t="s">
        <v>25</v>
      </c>
      <c r="S27" s="11" t="s">
        <v>29</v>
      </c>
      <c r="T27" s="28" t="s">
        <v>54</v>
      </c>
      <c r="U27" s="35">
        <f t="shared" si="2"/>
        <v>1.2</v>
      </c>
      <c r="V27" s="35">
        <f t="shared" si="3"/>
        <v>0.8</v>
      </c>
      <c r="W27" s="35">
        <f t="shared" si="4"/>
        <v>3.6</v>
      </c>
      <c r="X27" s="35">
        <f t="shared" si="5"/>
        <v>2.4</v>
      </c>
    </row>
    <row r="28" spans="1:24" ht="32" customHeight="1" x14ac:dyDescent="0.35">
      <c r="A28" s="10" t="s">
        <v>216</v>
      </c>
      <c r="B28" s="11" t="s">
        <v>217</v>
      </c>
      <c r="C28" s="11" t="s">
        <v>218</v>
      </c>
      <c r="D28" s="11" t="s">
        <v>219</v>
      </c>
      <c r="E28" s="11">
        <v>9</v>
      </c>
      <c r="F28" s="11">
        <v>10</v>
      </c>
      <c r="G28" s="15">
        <v>46132</v>
      </c>
      <c r="H28" s="15">
        <v>46146</v>
      </c>
      <c r="I28" s="11">
        <f t="shared" si="0"/>
        <v>2</v>
      </c>
      <c r="J28" s="32">
        <v>5</v>
      </c>
      <c r="K28" s="32">
        <v>5</v>
      </c>
      <c r="L28" s="32">
        <v>7</v>
      </c>
      <c r="M28" s="11">
        <f t="shared" si="1"/>
        <v>6</v>
      </c>
      <c r="N28" s="33">
        <v>0.15</v>
      </c>
      <c r="O28" s="33">
        <v>0.45</v>
      </c>
      <c r="P28" s="33">
        <v>0.15</v>
      </c>
      <c r="Q28" s="33">
        <v>0.25</v>
      </c>
      <c r="R28" s="39" t="s">
        <v>21</v>
      </c>
      <c r="S28" s="11" t="s">
        <v>29</v>
      </c>
      <c r="T28" s="28" t="s">
        <v>54</v>
      </c>
      <c r="U28" s="35">
        <f t="shared" si="2"/>
        <v>0.89999999999999991</v>
      </c>
      <c r="V28" s="35">
        <f t="shared" si="3"/>
        <v>2.7</v>
      </c>
      <c r="W28" s="35">
        <f t="shared" si="4"/>
        <v>0.89999999999999991</v>
      </c>
      <c r="X28" s="35">
        <f t="shared" si="5"/>
        <v>1.5</v>
      </c>
    </row>
    <row r="29" spans="1:24" ht="32" customHeight="1" x14ac:dyDescent="0.35">
      <c r="A29" s="10" t="s">
        <v>220</v>
      </c>
      <c r="B29" s="11" t="s">
        <v>221</v>
      </c>
      <c r="C29" s="11" t="s">
        <v>222</v>
      </c>
      <c r="D29" s="11" t="s">
        <v>223</v>
      </c>
      <c r="E29" s="11">
        <v>10</v>
      </c>
      <c r="F29" s="11">
        <v>11</v>
      </c>
      <c r="G29" s="15">
        <v>46139</v>
      </c>
      <c r="H29" s="15">
        <v>46153</v>
      </c>
      <c r="I29" s="11">
        <f t="shared" si="0"/>
        <v>2</v>
      </c>
      <c r="J29" s="32">
        <v>7</v>
      </c>
      <c r="K29" s="32">
        <v>7</v>
      </c>
      <c r="L29" s="32">
        <v>9</v>
      </c>
      <c r="M29" s="11">
        <f t="shared" si="1"/>
        <v>8</v>
      </c>
      <c r="N29" s="33">
        <v>0.35</v>
      </c>
      <c r="O29" s="33">
        <v>0.25</v>
      </c>
      <c r="P29" s="33">
        <v>0.2</v>
      </c>
      <c r="Q29" s="33">
        <v>0.2</v>
      </c>
      <c r="R29" s="34" t="s">
        <v>17</v>
      </c>
      <c r="S29" s="11" t="s">
        <v>117</v>
      </c>
      <c r="T29" s="28" t="s">
        <v>54</v>
      </c>
      <c r="U29" s="35">
        <f t="shared" si="2"/>
        <v>2.8</v>
      </c>
      <c r="V29" s="35">
        <f t="shared" si="3"/>
        <v>2</v>
      </c>
      <c r="W29" s="35">
        <f t="shared" si="4"/>
        <v>1.6</v>
      </c>
      <c r="X29" s="35">
        <f t="shared" si="5"/>
        <v>1.6</v>
      </c>
    </row>
    <row r="30" spans="1:24" ht="32" customHeight="1" x14ac:dyDescent="0.35">
      <c r="A30" s="10" t="s">
        <v>224</v>
      </c>
      <c r="B30" s="11" t="s">
        <v>225</v>
      </c>
      <c r="C30" s="11" t="s">
        <v>226</v>
      </c>
      <c r="D30" s="11" t="s">
        <v>227</v>
      </c>
      <c r="E30" s="11">
        <v>10</v>
      </c>
      <c r="F30" s="11">
        <v>11</v>
      </c>
      <c r="G30" s="15">
        <v>46139</v>
      </c>
      <c r="H30" s="15">
        <v>46153</v>
      </c>
      <c r="I30" s="11">
        <f t="shared" si="0"/>
        <v>2</v>
      </c>
      <c r="J30" s="32">
        <v>6</v>
      </c>
      <c r="K30" s="32">
        <v>6</v>
      </c>
      <c r="L30" s="32">
        <v>8</v>
      </c>
      <c r="M30" s="11">
        <f t="shared" si="1"/>
        <v>7</v>
      </c>
      <c r="N30" s="33">
        <v>0.25</v>
      </c>
      <c r="O30" s="33">
        <v>0.45</v>
      </c>
      <c r="P30" s="33">
        <v>0.1</v>
      </c>
      <c r="Q30" s="33">
        <v>0.2</v>
      </c>
      <c r="R30" s="39" t="s">
        <v>21</v>
      </c>
      <c r="S30" s="11" t="s">
        <v>187</v>
      </c>
      <c r="T30" s="28" t="s">
        <v>54</v>
      </c>
      <c r="U30" s="35">
        <f t="shared" si="2"/>
        <v>1.75</v>
      </c>
      <c r="V30" s="35">
        <f t="shared" si="3"/>
        <v>3.15</v>
      </c>
      <c r="W30" s="35">
        <f t="shared" si="4"/>
        <v>0.70000000000000007</v>
      </c>
      <c r="X30" s="35">
        <f t="shared" si="5"/>
        <v>1.4000000000000001</v>
      </c>
    </row>
    <row r="31" spans="1:24" ht="32" customHeight="1" x14ac:dyDescent="0.35">
      <c r="A31" s="10" t="s">
        <v>228</v>
      </c>
      <c r="B31" s="11" t="s">
        <v>229</v>
      </c>
      <c r="C31" s="11" t="s">
        <v>230</v>
      </c>
      <c r="D31" s="11" t="s">
        <v>231</v>
      </c>
      <c r="E31" s="11">
        <v>10</v>
      </c>
      <c r="F31" s="11">
        <v>11</v>
      </c>
      <c r="G31" s="15">
        <v>46139</v>
      </c>
      <c r="H31" s="15">
        <v>46153</v>
      </c>
      <c r="I31" s="11">
        <f t="shared" si="0"/>
        <v>2</v>
      </c>
      <c r="J31" s="32">
        <v>7</v>
      </c>
      <c r="K31" s="32">
        <v>7</v>
      </c>
      <c r="L31" s="32">
        <v>9</v>
      </c>
      <c r="M31" s="11">
        <f t="shared" si="1"/>
        <v>8</v>
      </c>
      <c r="N31" s="33">
        <v>0.3</v>
      </c>
      <c r="O31" s="33">
        <v>0.3</v>
      </c>
      <c r="P31" s="33">
        <v>0.2</v>
      </c>
      <c r="Q31" s="33">
        <v>0.2</v>
      </c>
      <c r="R31" s="34" t="s">
        <v>17</v>
      </c>
      <c r="S31" s="11" t="s">
        <v>117</v>
      </c>
      <c r="T31" s="28" t="s">
        <v>54</v>
      </c>
      <c r="U31" s="35">
        <f t="shared" si="2"/>
        <v>2.4</v>
      </c>
      <c r="V31" s="35">
        <f t="shared" si="3"/>
        <v>2.4</v>
      </c>
      <c r="W31" s="35">
        <f t="shared" si="4"/>
        <v>1.6</v>
      </c>
      <c r="X31" s="35">
        <f t="shared" si="5"/>
        <v>1.6</v>
      </c>
    </row>
    <row r="32" spans="1:24" ht="32" customHeight="1" x14ac:dyDescent="0.35">
      <c r="A32" s="10" t="s">
        <v>232</v>
      </c>
      <c r="B32" s="11" t="s">
        <v>233</v>
      </c>
      <c r="C32" s="11" t="s">
        <v>234</v>
      </c>
      <c r="D32" s="11" t="s">
        <v>235</v>
      </c>
      <c r="E32" s="11">
        <v>11</v>
      </c>
      <c r="F32" s="11">
        <v>11</v>
      </c>
      <c r="G32" s="15">
        <v>46146</v>
      </c>
      <c r="H32" s="15">
        <v>46153</v>
      </c>
      <c r="I32" s="11">
        <f t="shared" si="0"/>
        <v>1</v>
      </c>
      <c r="J32" s="32">
        <v>8</v>
      </c>
      <c r="K32" s="32">
        <v>6</v>
      </c>
      <c r="L32" s="32">
        <v>10</v>
      </c>
      <c r="M32" s="11">
        <f t="shared" si="1"/>
        <v>8</v>
      </c>
      <c r="N32" s="33">
        <v>0.25</v>
      </c>
      <c r="O32" s="33">
        <v>0.25</v>
      </c>
      <c r="P32" s="33">
        <v>0.3</v>
      </c>
      <c r="Q32" s="33">
        <v>0.2</v>
      </c>
      <c r="R32" s="36" t="s">
        <v>25</v>
      </c>
      <c r="S32" s="11" t="s">
        <v>134</v>
      </c>
      <c r="T32" s="28" t="s">
        <v>54</v>
      </c>
      <c r="U32" s="35">
        <f t="shared" si="2"/>
        <v>2</v>
      </c>
      <c r="V32" s="35">
        <f t="shared" si="3"/>
        <v>2</v>
      </c>
      <c r="W32" s="35">
        <f t="shared" si="4"/>
        <v>2.4</v>
      </c>
      <c r="X32" s="35">
        <f t="shared" si="5"/>
        <v>1.6</v>
      </c>
    </row>
    <row r="33" spans="1:24" ht="32" customHeight="1" x14ac:dyDescent="0.35">
      <c r="A33" s="10" t="s">
        <v>236</v>
      </c>
      <c r="B33" s="11" t="s">
        <v>237</v>
      </c>
      <c r="C33" s="11" t="s">
        <v>238</v>
      </c>
      <c r="D33" s="11" t="s">
        <v>239</v>
      </c>
      <c r="E33" s="11">
        <v>11</v>
      </c>
      <c r="F33" s="11">
        <v>12</v>
      </c>
      <c r="G33" s="15">
        <v>46146</v>
      </c>
      <c r="H33" s="15">
        <v>46160</v>
      </c>
      <c r="I33" s="11">
        <f t="shared" si="0"/>
        <v>2</v>
      </c>
      <c r="J33" s="32">
        <v>6</v>
      </c>
      <c r="K33" s="32">
        <v>6</v>
      </c>
      <c r="L33" s="32">
        <v>7</v>
      </c>
      <c r="M33" s="11">
        <f t="shared" si="1"/>
        <v>6</v>
      </c>
      <c r="N33" s="33">
        <v>0.1</v>
      </c>
      <c r="O33" s="33">
        <v>0.15</v>
      </c>
      <c r="P33" s="33">
        <v>0.1</v>
      </c>
      <c r="Q33" s="33">
        <v>0.65</v>
      </c>
      <c r="R33" s="37" t="s">
        <v>29</v>
      </c>
      <c r="S33" s="11" t="s">
        <v>138</v>
      </c>
      <c r="T33" s="28" t="s">
        <v>54</v>
      </c>
      <c r="U33" s="35">
        <f t="shared" si="2"/>
        <v>0.60000000000000009</v>
      </c>
      <c r="V33" s="35">
        <f t="shared" si="3"/>
        <v>0.89999999999999991</v>
      </c>
      <c r="W33" s="35">
        <f t="shared" si="4"/>
        <v>0.60000000000000009</v>
      </c>
      <c r="X33" s="35">
        <f t="shared" si="5"/>
        <v>3.9000000000000004</v>
      </c>
    </row>
    <row r="34" spans="1:24" ht="32" customHeight="1" x14ac:dyDescent="0.35">
      <c r="A34" s="10" t="s">
        <v>240</v>
      </c>
      <c r="B34" s="11" t="s">
        <v>241</v>
      </c>
      <c r="C34" s="11" t="s">
        <v>242</v>
      </c>
      <c r="D34" s="11" t="s">
        <v>243</v>
      </c>
      <c r="E34" s="11">
        <v>12</v>
      </c>
      <c r="F34" s="11">
        <v>12</v>
      </c>
      <c r="G34" s="15">
        <v>46153</v>
      </c>
      <c r="H34" s="15">
        <v>46160</v>
      </c>
      <c r="I34" s="11">
        <f t="shared" si="0"/>
        <v>1</v>
      </c>
      <c r="J34" s="32">
        <v>8</v>
      </c>
      <c r="K34" s="32">
        <v>6</v>
      </c>
      <c r="L34" s="32">
        <v>10</v>
      </c>
      <c r="M34" s="11">
        <f t="shared" si="1"/>
        <v>8</v>
      </c>
      <c r="N34" s="33">
        <v>0.3</v>
      </c>
      <c r="O34" s="33">
        <v>0.25</v>
      </c>
      <c r="P34" s="33">
        <v>0.3</v>
      </c>
      <c r="Q34" s="33">
        <v>0.15</v>
      </c>
      <c r="R34" s="34" t="s">
        <v>17</v>
      </c>
      <c r="S34" s="11" t="s">
        <v>182</v>
      </c>
      <c r="T34" s="19" t="s">
        <v>82</v>
      </c>
      <c r="U34" s="35">
        <f t="shared" si="2"/>
        <v>2.4</v>
      </c>
      <c r="V34" s="35">
        <f t="shared" si="3"/>
        <v>2</v>
      </c>
      <c r="W34" s="35">
        <f t="shared" si="4"/>
        <v>2.4</v>
      </c>
      <c r="X34" s="35">
        <f t="shared" si="5"/>
        <v>1.2</v>
      </c>
    </row>
    <row r="35" spans="1:24" ht="32" customHeight="1" x14ac:dyDescent="0.35">
      <c r="A35" s="10" t="s">
        <v>244</v>
      </c>
      <c r="B35" s="11" t="s">
        <v>245</v>
      </c>
      <c r="C35" s="11" t="s">
        <v>246</v>
      </c>
      <c r="D35" s="11" t="s">
        <v>247</v>
      </c>
      <c r="E35" s="11">
        <v>12</v>
      </c>
      <c r="F35" s="11">
        <v>13</v>
      </c>
      <c r="G35" s="15">
        <v>46153</v>
      </c>
      <c r="H35" s="15">
        <v>46167</v>
      </c>
      <c r="I35" s="11">
        <f t="shared" si="0"/>
        <v>2</v>
      </c>
      <c r="J35" s="32">
        <v>7</v>
      </c>
      <c r="K35" s="32">
        <v>7</v>
      </c>
      <c r="L35" s="32">
        <v>9</v>
      </c>
      <c r="M35" s="11">
        <f t="shared" si="1"/>
        <v>8</v>
      </c>
      <c r="N35" s="33">
        <v>0.25</v>
      </c>
      <c r="O35" s="33">
        <v>0.3</v>
      </c>
      <c r="P35" s="33">
        <v>0.25</v>
      </c>
      <c r="Q35" s="33">
        <v>0.2</v>
      </c>
      <c r="R35" s="39" t="s">
        <v>21</v>
      </c>
      <c r="S35" s="11" t="s">
        <v>248</v>
      </c>
      <c r="T35" s="19" t="s">
        <v>82</v>
      </c>
      <c r="U35" s="35">
        <f t="shared" si="2"/>
        <v>2</v>
      </c>
      <c r="V35" s="35">
        <f t="shared" si="3"/>
        <v>2.4</v>
      </c>
      <c r="W35" s="35">
        <f t="shared" si="4"/>
        <v>2</v>
      </c>
      <c r="X35" s="35">
        <f t="shared" si="5"/>
        <v>1.6</v>
      </c>
    </row>
    <row r="36" spans="1:24" ht="32" customHeight="1" x14ac:dyDescent="0.35">
      <c r="A36" s="10" t="s">
        <v>249</v>
      </c>
      <c r="B36" s="11" t="s">
        <v>250</v>
      </c>
      <c r="C36" s="11" t="s">
        <v>251</v>
      </c>
      <c r="D36" s="11" t="s">
        <v>252</v>
      </c>
      <c r="E36" s="11">
        <v>13</v>
      </c>
      <c r="F36" s="11">
        <v>13</v>
      </c>
      <c r="G36" s="15">
        <v>46160</v>
      </c>
      <c r="H36" s="15">
        <v>46167</v>
      </c>
      <c r="I36" s="11">
        <f t="shared" si="0"/>
        <v>1</v>
      </c>
      <c r="J36" s="32">
        <v>7</v>
      </c>
      <c r="K36" s="32">
        <v>6</v>
      </c>
      <c r="L36" s="32">
        <v>9</v>
      </c>
      <c r="M36" s="11">
        <f t="shared" si="1"/>
        <v>7</v>
      </c>
      <c r="N36" s="33">
        <v>0.25</v>
      </c>
      <c r="O36" s="33">
        <v>0.15</v>
      </c>
      <c r="P36" s="33">
        <v>0.35</v>
      </c>
      <c r="Q36" s="33">
        <v>0.25</v>
      </c>
      <c r="R36" s="36" t="s">
        <v>25</v>
      </c>
      <c r="S36" s="11" t="s">
        <v>187</v>
      </c>
      <c r="T36" s="31" t="s">
        <v>86</v>
      </c>
      <c r="U36" s="35">
        <f t="shared" si="2"/>
        <v>1.75</v>
      </c>
      <c r="V36" s="35">
        <f t="shared" si="3"/>
        <v>1.05</v>
      </c>
      <c r="W36" s="35">
        <f t="shared" si="4"/>
        <v>2.4499999999999997</v>
      </c>
      <c r="X36" s="35">
        <f t="shared" si="5"/>
        <v>1.75</v>
      </c>
    </row>
    <row r="37" spans="1:24" ht="32" customHeight="1" x14ac:dyDescent="0.35">
      <c r="A37" s="10" t="s">
        <v>253</v>
      </c>
      <c r="B37" s="11" t="s">
        <v>254</v>
      </c>
      <c r="C37" s="11" t="s">
        <v>255</v>
      </c>
      <c r="D37" s="11" t="s">
        <v>256</v>
      </c>
      <c r="E37" s="11">
        <v>13</v>
      </c>
      <c r="F37" s="11">
        <v>14</v>
      </c>
      <c r="G37" s="15">
        <v>46160</v>
      </c>
      <c r="H37" s="15">
        <v>46174</v>
      </c>
      <c r="I37" s="11">
        <f t="shared" si="0"/>
        <v>2</v>
      </c>
      <c r="J37" s="32">
        <v>5</v>
      </c>
      <c r="K37" s="32">
        <v>5</v>
      </c>
      <c r="L37" s="32">
        <v>7</v>
      </c>
      <c r="M37" s="11">
        <f t="shared" si="1"/>
        <v>6</v>
      </c>
      <c r="N37" s="33">
        <v>0.2</v>
      </c>
      <c r="O37" s="33">
        <v>0.25</v>
      </c>
      <c r="P37" s="33">
        <v>0.15</v>
      </c>
      <c r="Q37" s="33">
        <v>0.4</v>
      </c>
      <c r="R37" s="37" t="s">
        <v>29</v>
      </c>
      <c r="S37" s="11" t="s">
        <v>257</v>
      </c>
      <c r="T37" s="31" t="s">
        <v>86</v>
      </c>
      <c r="U37" s="35">
        <f t="shared" si="2"/>
        <v>1.2000000000000002</v>
      </c>
      <c r="V37" s="35">
        <f t="shared" si="3"/>
        <v>1.5</v>
      </c>
      <c r="W37" s="35">
        <f t="shared" si="4"/>
        <v>0.89999999999999991</v>
      </c>
      <c r="X37" s="35">
        <f t="shared" si="5"/>
        <v>2.4000000000000004</v>
      </c>
    </row>
    <row r="38" spans="1:24" ht="32" customHeight="1" x14ac:dyDescent="0.35">
      <c r="A38" s="10" t="s">
        <v>258</v>
      </c>
      <c r="B38" s="11" t="s">
        <v>259</v>
      </c>
      <c r="C38" s="11" t="s">
        <v>260</v>
      </c>
      <c r="D38" s="11" t="s">
        <v>261</v>
      </c>
      <c r="E38" s="11">
        <v>14</v>
      </c>
      <c r="F38" s="11">
        <v>14</v>
      </c>
      <c r="G38" s="15">
        <v>46167</v>
      </c>
      <c r="H38" s="15">
        <v>46174</v>
      </c>
      <c r="I38" s="11">
        <f t="shared" si="0"/>
        <v>1</v>
      </c>
      <c r="J38" s="32">
        <v>6</v>
      </c>
      <c r="K38" s="32">
        <v>5</v>
      </c>
      <c r="L38" s="32">
        <v>9</v>
      </c>
      <c r="M38" s="11">
        <f t="shared" si="1"/>
        <v>7</v>
      </c>
      <c r="N38" s="33">
        <v>0.25</v>
      </c>
      <c r="O38" s="33">
        <v>0.25</v>
      </c>
      <c r="P38" s="33">
        <v>0.25</v>
      </c>
      <c r="Q38" s="33">
        <v>0.25</v>
      </c>
      <c r="R38" s="34" t="s">
        <v>17</v>
      </c>
      <c r="S38" s="11" t="s">
        <v>117</v>
      </c>
      <c r="T38" s="31" t="s">
        <v>86</v>
      </c>
      <c r="U38" s="35">
        <f t="shared" si="2"/>
        <v>1.75</v>
      </c>
      <c r="V38" s="35">
        <f t="shared" si="3"/>
        <v>1.75</v>
      </c>
      <c r="W38" s="35">
        <f t="shared" si="4"/>
        <v>1.75</v>
      </c>
      <c r="X38" s="35">
        <f t="shared" si="5"/>
        <v>1.75</v>
      </c>
    </row>
    <row r="39" spans="1:24" ht="32" customHeight="1" x14ac:dyDescent="0.35">
      <c r="A39" s="10" t="s">
        <v>262</v>
      </c>
      <c r="B39" s="11" t="s">
        <v>259</v>
      </c>
      <c r="C39" s="11" t="s">
        <v>263</v>
      </c>
      <c r="D39" s="11" t="s">
        <v>264</v>
      </c>
      <c r="E39" s="11">
        <v>14</v>
      </c>
      <c r="F39" s="11">
        <v>14</v>
      </c>
      <c r="G39" s="15">
        <v>46167</v>
      </c>
      <c r="H39" s="15">
        <v>46174</v>
      </c>
      <c r="I39" s="11">
        <f t="shared" si="0"/>
        <v>1</v>
      </c>
      <c r="J39" s="32">
        <v>5</v>
      </c>
      <c r="K39" s="32">
        <v>5</v>
      </c>
      <c r="L39" s="32">
        <v>8</v>
      </c>
      <c r="M39" s="11">
        <f t="shared" si="1"/>
        <v>6</v>
      </c>
      <c r="N39" s="33">
        <v>0.2</v>
      </c>
      <c r="O39" s="33">
        <v>0.25</v>
      </c>
      <c r="P39" s="33">
        <v>0.25</v>
      </c>
      <c r="Q39" s="33">
        <v>0.3</v>
      </c>
      <c r="R39" s="37" t="s">
        <v>29</v>
      </c>
      <c r="S39" s="11" t="s">
        <v>265</v>
      </c>
      <c r="T39" s="31" t="s">
        <v>86</v>
      </c>
      <c r="U39" s="35">
        <f t="shared" si="2"/>
        <v>1.2000000000000002</v>
      </c>
      <c r="V39" s="35">
        <f t="shared" si="3"/>
        <v>1.5</v>
      </c>
      <c r="W39" s="35">
        <f t="shared" si="4"/>
        <v>1.5</v>
      </c>
      <c r="X39" s="35">
        <f t="shared" si="5"/>
        <v>1.7999999999999998</v>
      </c>
    </row>
    <row r="40" spans="1:24" ht="32" customHeight="1" x14ac:dyDescent="0.35">
      <c r="A40" s="40" t="s">
        <v>266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2">
        <f>SUM(U2:U39)</f>
        <v>64.699999999999989</v>
      </c>
      <c r="V40" s="42">
        <f>SUM(V2:V39)</f>
        <v>64.149999999999991</v>
      </c>
      <c r="W40" s="42">
        <f>SUM(W2:W39)</f>
        <v>64.700000000000017</v>
      </c>
      <c r="X40" s="42">
        <f>SUM(X2:X39)</f>
        <v>63.45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3"/>
  <sheetViews>
    <sheetView showGridLines="0" topLeftCell="C13" zoomScale="85" zoomScaleNormal="85" workbookViewId="0">
      <selection activeCell="I29" sqref="I29"/>
    </sheetView>
  </sheetViews>
  <sheetFormatPr defaultRowHeight="14.5" x14ac:dyDescent="0.35"/>
  <cols>
    <col min="1" max="1" width="9.6328125" customWidth="1"/>
    <col min="2" max="2" width="18" customWidth="1"/>
    <col min="3" max="3" width="34" customWidth="1"/>
    <col min="4" max="4" width="13.08984375" customWidth="1"/>
    <col min="5" max="6" width="18" customWidth="1"/>
    <col min="7" max="8" width="12" customWidth="1"/>
    <col min="9" max="22" width="11" customWidth="1"/>
  </cols>
  <sheetData>
    <row r="1" spans="1:22" ht="18.5" x14ac:dyDescent="0.45">
      <c r="A1" s="7" t="s">
        <v>267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3" spans="1:22" x14ac:dyDescent="0.35">
      <c r="A3" s="1" t="s">
        <v>268</v>
      </c>
      <c r="B3" s="2" t="s">
        <v>47</v>
      </c>
      <c r="C3" s="3" t="s">
        <v>269</v>
      </c>
      <c r="D3" s="4" t="s">
        <v>270</v>
      </c>
      <c r="E3" s="5" t="s">
        <v>288</v>
      </c>
    </row>
    <row r="5" spans="1:22" ht="43.5" x14ac:dyDescent="0.35">
      <c r="A5" s="8" t="s">
        <v>91</v>
      </c>
      <c r="B5" s="8" t="s">
        <v>44</v>
      </c>
      <c r="C5" s="8" t="s">
        <v>92</v>
      </c>
      <c r="D5" s="8" t="s">
        <v>102</v>
      </c>
      <c r="E5" s="8" t="s">
        <v>37</v>
      </c>
      <c r="F5" s="8" t="s">
        <v>107</v>
      </c>
      <c r="G5" s="8" t="s">
        <v>42</v>
      </c>
      <c r="H5" s="8" t="s">
        <v>43</v>
      </c>
      <c r="I5" s="9" t="s">
        <v>271</v>
      </c>
      <c r="J5" s="9" t="s">
        <v>272</v>
      </c>
      <c r="K5" s="9" t="s">
        <v>273</v>
      </c>
      <c r="L5" s="9" t="s">
        <v>274</v>
      </c>
      <c r="M5" s="9" t="s">
        <v>275</v>
      </c>
      <c r="N5" s="9" t="s">
        <v>276</v>
      </c>
      <c r="O5" s="9" t="s">
        <v>277</v>
      </c>
      <c r="P5" s="9" t="s">
        <v>278</v>
      </c>
      <c r="Q5" s="9" t="s">
        <v>279</v>
      </c>
      <c r="R5" s="9" t="s">
        <v>280</v>
      </c>
      <c r="S5" s="9" t="s">
        <v>281</v>
      </c>
      <c r="T5" s="9" t="s">
        <v>282</v>
      </c>
      <c r="U5" s="9" t="s">
        <v>283</v>
      </c>
      <c r="V5" s="9" t="s">
        <v>284</v>
      </c>
    </row>
    <row r="6" spans="1:22" ht="24" customHeight="1" x14ac:dyDescent="0.35">
      <c r="A6" s="10" t="s">
        <v>113</v>
      </c>
      <c r="B6" s="11" t="s">
        <v>292</v>
      </c>
      <c r="C6" s="11" t="s">
        <v>115</v>
      </c>
      <c r="D6" s="12">
        <v>3</v>
      </c>
      <c r="E6" s="13" t="s">
        <v>47</v>
      </c>
      <c r="F6" s="14" t="s">
        <v>17</v>
      </c>
      <c r="G6" s="15">
        <v>46076</v>
      </c>
      <c r="H6" s="15">
        <v>46083</v>
      </c>
      <c r="I6" s="16" t="s">
        <v>289</v>
      </c>
      <c r="J6" s="17" t="s">
        <v>138</v>
      </c>
      <c r="K6" s="18" t="s">
        <v>138</v>
      </c>
      <c r="L6" s="17" t="s">
        <v>138</v>
      </c>
      <c r="M6" s="18" t="s">
        <v>138</v>
      </c>
      <c r="N6" s="17" t="s">
        <v>138</v>
      </c>
      <c r="O6" s="18" t="s">
        <v>138</v>
      </c>
      <c r="P6" s="17" t="s">
        <v>138</v>
      </c>
      <c r="Q6" s="18" t="s">
        <v>138</v>
      </c>
      <c r="R6" s="17" t="s">
        <v>138</v>
      </c>
      <c r="S6" s="18" t="s">
        <v>138</v>
      </c>
      <c r="T6" s="17" t="s">
        <v>138</v>
      </c>
      <c r="U6" s="18" t="s">
        <v>138</v>
      </c>
      <c r="V6" s="17" t="s">
        <v>138</v>
      </c>
    </row>
    <row r="7" spans="1:22" ht="24" customHeight="1" x14ac:dyDescent="0.35">
      <c r="A7" s="10" t="s">
        <v>118</v>
      </c>
      <c r="B7" s="11" t="s">
        <v>292</v>
      </c>
      <c r="C7" s="11" t="s">
        <v>119</v>
      </c>
      <c r="D7" s="12">
        <v>5</v>
      </c>
      <c r="E7" s="13" t="s">
        <v>47</v>
      </c>
      <c r="F7" s="14" t="s">
        <v>17</v>
      </c>
      <c r="G7" s="15">
        <v>46076</v>
      </c>
      <c r="H7" s="15">
        <v>46083</v>
      </c>
      <c r="I7" s="16" t="s">
        <v>289</v>
      </c>
      <c r="J7" s="17" t="s">
        <v>138</v>
      </c>
      <c r="K7" s="18" t="s">
        <v>138</v>
      </c>
      <c r="L7" s="17" t="s">
        <v>138</v>
      </c>
      <c r="M7" s="18" t="s">
        <v>138</v>
      </c>
      <c r="N7" s="17" t="s">
        <v>138</v>
      </c>
      <c r="O7" s="18" t="s">
        <v>138</v>
      </c>
      <c r="P7" s="17" t="s">
        <v>138</v>
      </c>
      <c r="Q7" s="18" t="s">
        <v>138</v>
      </c>
      <c r="R7" s="17" t="s">
        <v>138</v>
      </c>
      <c r="S7" s="18" t="s">
        <v>138</v>
      </c>
      <c r="T7" s="17" t="s">
        <v>138</v>
      </c>
      <c r="U7" s="18" t="s">
        <v>138</v>
      </c>
      <c r="V7" s="17" t="s">
        <v>138</v>
      </c>
    </row>
    <row r="8" spans="1:22" ht="24" customHeight="1" x14ac:dyDescent="0.35">
      <c r="A8" s="10" t="s">
        <v>121</v>
      </c>
      <c r="B8" s="11" t="s">
        <v>292</v>
      </c>
      <c r="C8" s="11" t="s">
        <v>122</v>
      </c>
      <c r="D8" s="12">
        <v>6</v>
      </c>
      <c r="E8" s="13" t="s">
        <v>47</v>
      </c>
      <c r="F8" s="14" t="s">
        <v>17</v>
      </c>
      <c r="G8" s="15">
        <v>46076</v>
      </c>
      <c r="H8" s="15">
        <v>46083</v>
      </c>
      <c r="I8" s="16" t="s">
        <v>289</v>
      </c>
      <c r="J8" s="17" t="s">
        <v>138</v>
      </c>
      <c r="K8" s="18" t="s">
        <v>138</v>
      </c>
      <c r="L8" s="17" t="s">
        <v>138</v>
      </c>
      <c r="M8" s="18" t="s">
        <v>138</v>
      </c>
      <c r="N8" s="17" t="s">
        <v>138</v>
      </c>
      <c r="O8" s="18" t="s">
        <v>138</v>
      </c>
      <c r="P8" s="17" t="s">
        <v>138</v>
      </c>
      <c r="Q8" s="18" t="s">
        <v>138</v>
      </c>
      <c r="R8" s="17" t="s">
        <v>138</v>
      </c>
      <c r="S8" s="18" t="s">
        <v>138</v>
      </c>
      <c r="T8" s="17" t="s">
        <v>138</v>
      </c>
      <c r="U8" s="18" t="s">
        <v>138</v>
      </c>
      <c r="V8" s="17" t="s">
        <v>138</v>
      </c>
    </row>
    <row r="9" spans="1:22" ht="24" customHeight="1" x14ac:dyDescent="0.35">
      <c r="A9" s="10" t="s">
        <v>124</v>
      </c>
      <c r="B9" s="11" t="s">
        <v>125</v>
      </c>
      <c r="C9" s="11" t="s">
        <v>126</v>
      </c>
      <c r="D9" s="12">
        <v>5</v>
      </c>
      <c r="E9" s="13" t="s">
        <v>47</v>
      </c>
      <c r="F9" s="14" t="s">
        <v>17</v>
      </c>
      <c r="G9" s="15">
        <v>46083</v>
      </c>
      <c r="H9" s="15">
        <v>46090</v>
      </c>
      <c r="I9" s="18" t="s">
        <v>138</v>
      </c>
      <c r="J9" s="16" t="s">
        <v>289</v>
      </c>
      <c r="K9" s="18" t="s">
        <v>138</v>
      </c>
      <c r="L9" s="17" t="s">
        <v>138</v>
      </c>
      <c r="M9" s="18" t="s">
        <v>138</v>
      </c>
      <c r="N9" s="17" t="s">
        <v>138</v>
      </c>
      <c r="O9" s="18" t="s">
        <v>138</v>
      </c>
      <c r="P9" s="17" t="s">
        <v>138</v>
      </c>
      <c r="Q9" s="18" t="s">
        <v>138</v>
      </c>
      <c r="R9" s="17" t="s">
        <v>138</v>
      </c>
      <c r="S9" s="18" t="s">
        <v>138</v>
      </c>
      <c r="T9" s="17" t="s">
        <v>138</v>
      </c>
      <c r="U9" s="18" t="s">
        <v>138</v>
      </c>
      <c r="V9" s="17" t="s">
        <v>138</v>
      </c>
    </row>
    <row r="10" spans="1:22" ht="24" customHeight="1" x14ac:dyDescent="0.35">
      <c r="A10" s="10" t="s">
        <v>128</v>
      </c>
      <c r="B10" s="11" t="s">
        <v>125</v>
      </c>
      <c r="C10" s="11" t="s">
        <v>129</v>
      </c>
      <c r="D10" s="12">
        <v>6</v>
      </c>
      <c r="E10" s="13" t="s">
        <v>47</v>
      </c>
      <c r="F10" s="14" t="s">
        <v>17</v>
      </c>
      <c r="G10" s="15">
        <v>46083</v>
      </c>
      <c r="H10" s="15">
        <v>46090</v>
      </c>
      <c r="I10" s="18" t="s">
        <v>138</v>
      </c>
      <c r="J10" s="16" t="s">
        <v>289</v>
      </c>
      <c r="K10" s="18" t="s">
        <v>138</v>
      </c>
      <c r="L10" s="17" t="s">
        <v>138</v>
      </c>
      <c r="M10" s="18" t="s">
        <v>138</v>
      </c>
      <c r="N10" s="17" t="s">
        <v>138</v>
      </c>
      <c r="O10" s="18" t="s">
        <v>138</v>
      </c>
      <c r="P10" s="17" t="s">
        <v>138</v>
      </c>
      <c r="Q10" s="18" t="s">
        <v>138</v>
      </c>
      <c r="R10" s="17" t="s">
        <v>138</v>
      </c>
      <c r="S10" s="18" t="s">
        <v>138</v>
      </c>
      <c r="T10" s="17" t="s">
        <v>138</v>
      </c>
      <c r="U10" s="18" t="s">
        <v>138</v>
      </c>
      <c r="V10" s="17" t="s">
        <v>138</v>
      </c>
    </row>
    <row r="11" spans="1:22" ht="24" customHeight="1" x14ac:dyDescent="0.35">
      <c r="A11" s="10" t="s">
        <v>131</v>
      </c>
      <c r="B11" s="11" t="s">
        <v>125</v>
      </c>
      <c r="C11" s="11" t="s">
        <v>132</v>
      </c>
      <c r="D11" s="12">
        <v>6</v>
      </c>
      <c r="E11" s="13" t="s">
        <v>47</v>
      </c>
      <c r="F11" s="19" t="s">
        <v>25</v>
      </c>
      <c r="G11" s="15">
        <v>46083</v>
      </c>
      <c r="H11" s="15">
        <v>46090</v>
      </c>
      <c r="I11" s="18" t="s">
        <v>138</v>
      </c>
      <c r="J11" s="16" t="s">
        <v>290</v>
      </c>
      <c r="K11" s="18" t="s">
        <v>138</v>
      </c>
      <c r="L11" s="17" t="s">
        <v>138</v>
      </c>
      <c r="M11" s="18" t="s">
        <v>138</v>
      </c>
      <c r="N11" s="17" t="s">
        <v>138</v>
      </c>
      <c r="O11" s="18" t="s">
        <v>138</v>
      </c>
      <c r="P11" s="17" t="s">
        <v>138</v>
      </c>
      <c r="Q11" s="18" t="s">
        <v>138</v>
      </c>
      <c r="R11" s="17" t="s">
        <v>138</v>
      </c>
      <c r="S11" s="18" t="s">
        <v>138</v>
      </c>
      <c r="T11" s="17" t="s">
        <v>138</v>
      </c>
      <c r="U11" s="18" t="s">
        <v>138</v>
      </c>
      <c r="V11" s="17" t="s">
        <v>138</v>
      </c>
    </row>
    <row r="12" spans="1:22" ht="24" customHeight="1" x14ac:dyDescent="0.35">
      <c r="A12" s="10" t="s">
        <v>135</v>
      </c>
      <c r="B12" s="11" t="s">
        <v>125</v>
      </c>
      <c r="C12" s="11" t="s">
        <v>136</v>
      </c>
      <c r="D12" s="12">
        <v>4</v>
      </c>
      <c r="E12" s="13" t="s">
        <v>47</v>
      </c>
      <c r="F12" s="20" t="s">
        <v>29</v>
      </c>
      <c r="G12" s="15">
        <v>46083</v>
      </c>
      <c r="H12" s="15">
        <v>46090</v>
      </c>
      <c r="I12" s="18" t="s">
        <v>138</v>
      </c>
      <c r="J12" s="16" t="s">
        <v>293</v>
      </c>
      <c r="K12" s="18" t="s">
        <v>138</v>
      </c>
      <c r="L12" s="17" t="s">
        <v>138</v>
      </c>
      <c r="M12" s="18" t="s">
        <v>138</v>
      </c>
      <c r="N12" s="17" t="s">
        <v>138</v>
      </c>
      <c r="O12" s="18" t="s">
        <v>138</v>
      </c>
      <c r="P12" s="17" t="s">
        <v>138</v>
      </c>
      <c r="Q12" s="18" t="s">
        <v>138</v>
      </c>
      <c r="R12" s="17" t="s">
        <v>138</v>
      </c>
      <c r="S12" s="18" t="s">
        <v>138</v>
      </c>
      <c r="T12" s="17" t="s">
        <v>138</v>
      </c>
      <c r="U12" s="18" t="s">
        <v>138</v>
      </c>
      <c r="V12" s="17" t="s">
        <v>138</v>
      </c>
    </row>
    <row r="13" spans="1:22" ht="24" customHeight="1" x14ac:dyDescent="0.35">
      <c r="A13" s="10" t="s">
        <v>139</v>
      </c>
      <c r="B13" s="11" t="s">
        <v>140</v>
      </c>
      <c r="C13" s="11" t="s">
        <v>141</v>
      </c>
      <c r="D13" s="12">
        <v>7</v>
      </c>
      <c r="E13" s="21" t="s">
        <v>287</v>
      </c>
      <c r="F13" s="22" t="s">
        <v>285</v>
      </c>
      <c r="G13" s="15">
        <v>46090</v>
      </c>
      <c r="H13" s="23" t="s">
        <v>294</v>
      </c>
      <c r="I13" s="18" t="s">
        <v>138</v>
      </c>
      <c r="J13" s="17" t="s">
        <v>138</v>
      </c>
      <c r="K13" s="24" t="s">
        <v>286</v>
      </c>
      <c r="L13" s="24" t="s">
        <v>286</v>
      </c>
      <c r="M13" s="24" t="s">
        <v>286</v>
      </c>
      <c r="N13" s="24" t="s">
        <v>286</v>
      </c>
      <c r="O13" s="24" t="s">
        <v>286</v>
      </c>
      <c r="P13" s="24" t="s">
        <v>286</v>
      </c>
      <c r="Q13" s="24" t="s">
        <v>286</v>
      </c>
      <c r="R13" s="24" t="s">
        <v>286</v>
      </c>
      <c r="S13" s="24" t="s">
        <v>286</v>
      </c>
      <c r="T13" s="17" t="s">
        <v>138</v>
      </c>
      <c r="U13" s="18" t="s">
        <v>138</v>
      </c>
      <c r="V13" s="17" t="s">
        <v>138</v>
      </c>
    </row>
    <row r="14" spans="1:22" ht="24" customHeight="1" x14ac:dyDescent="0.35">
      <c r="A14" s="10" t="s">
        <v>143</v>
      </c>
      <c r="B14" s="11" t="s">
        <v>144</v>
      </c>
      <c r="C14" s="11" t="s">
        <v>145</v>
      </c>
      <c r="D14" s="12">
        <v>8</v>
      </c>
      <c r="E14" s="13" t="s">
        <v>47</v>
      </c>
      <c r="F14" s="14" t="s">
        <v>17</v>
      </c>
      <c r="G14" s="15">
        <v>46090</v>
      </c>
      <c r="H14" s="15">
        <v>46104</v>
      </c>
      <c r="I14" s="18" t="s">
        <v>138</v>
      </c>
      <c r="J14" s="17" t="s">
        <v>138</v>
      </c>
      <c r="K14" s="25" t="s">
        <v>289</v>
      </c>
      <c r="L14" s="25" t="s">
        <v>289</v>
      </c>
      <c r="M14" s="18" t="s">
        <v>138</v>
      </c>
      <c r="N14" s="17" t="s">
        <v>138</v>
      </c>
      <c r="O14" s="18" t="s">
        <v>138</v>
      </c>
      <c r="P14" s="17" t="s">
        <v>138</v>
      </c>
      <c r="Q14" s="18" t="s">
        <v>138</v>
      </c>
      <c r="R14" s="17" t="s">
        <v>138</v>
      </c>
      <c r="S14" s="18" t="s">
        <v>138</v>
      </c>
      <c r="T14" s="17" t="s">
        <v>138</v>
      </c>
      <c r="U14" s="18" t="s">
        <v>138</v>
      </c>
      <c r="V14" s="17" t="s">
        <v>138</v>
      </c>
    </row>
    <row r="15" spans="1:22" ht="24" customHeight="1" x14ac:dyDescent="0.35">
      <c r="A15" s="10" t="s">
        <v>147</v>
      </c>
      <c r="B15" s="11" t="s">
        <v>144</v>
      </c>
      <c r="C15" s="11" t="s">
        <v>148</v>
      </c>
      <c r="D15" s="12">
        <v>8</v>
      </c>
      <c r="E15" s="21" t="s">
        <v>287</v>
      </c>
      <c r="F15" s="19" t="s">
        <v>25</v>
      </c>
      <c r="G15" s="15">
        <v>46090</v>
      </c>
      <c r="H15" s="15">
        <v>46104</v>
      </c>
      <c r="I15" s="18" t="s">
        <v>138</v>
      </c>
      <c r="J15" s="17" t="s">
        <v>138</v>
      </c>
      <c r="K15" s="24" t="s">
        <v>290</v>
      </c>
      <c r="L15" s="24" t="s">
        <v>290</v>
      </c>
      <c r="M15" s="24" t="s">
        <v>290</v>
      </c>
      <c r="N15" s="24" t="s">
        <v>290</v>
      </c>
      <c r="O15" s="24" t="s">
        <v>290</v>
      </c>
      <c r="P15" s="24" t="s">
        <v>290</v>
      </c>
      <c r="Q15" s="18" t="s">
        <v>138</v>
      </c>
      <c r="R15" s="17" t="s">
        <v>138</v>
      </c>
      <c r="S15" s="18" t="s">
        <v>138</v>
      </c>
      <c r="T15" s="17" t="s">
        <v>138</v>
      </c>
      <c r="U15" s="18" t="s">
        <v>138</v>
      </c>
      <c r="V15" s="17" t="s">
        <v>138</v>
      </c>
    </row>
    <row r="16" spans="1:22" ht="24" customHeight="1" x14ac:dyDescent="0.35">
      <c r="A16" s="10" t="s">
        <v>150</v>
      </c>
      <c r="B16" s="11" t="s">
        <v>151</v>
      </c>
      <c r="C16" s="11" t="s">
        <v>152</v>
      </c>
      <c r="D16" s="12">
        <v>4</v>
      </c>
      <c r="E16" s="21" t="s">
        <v>287</v>
      </c>
      <c r="F16" s="20" t="s">
        <v>29</v>
      </c>
      <c r="G16" s="15">
        <v>46090</v>
      </c>
      <c r="H16" s="15">
        <v>46097</v>
      </c>
      <c r="I16" s="18" t="s">
        <v>138</v>
      </c>
      <c r="J16" s="17" t="s">
        <v>138</v>
      </c>
      <c r="K16" s="24" t="s">
        <v>293</v>
      </c>
      <c r="L16" s="24" t="s">
        <v>293</v>
      </c>
      <c r="M16" s="24" t="s">
        <v>293</v>
      </c>
      <c r="N16" s="24" t="s">
        <v>293</v>
      </c>
      <c r="O16" s="18" t="s">
        <v>138</v>
      </c>
      <c r="P16" s="17" t="s">
        <v>138</v>
      </c>
      <c r="Q16" s="18" t="s">
        <v>138</v>
      </c>
      <c r="R16" s="17" t="s">
        <v>138</v>
      </c>
      <c r="S16" s="18" t="s">
        <v>138</v>
      </c>
      <c r="T16" s="17" t="s">
        <v>138</v>
      </c>
      <c r="U16" s="18" t="s">
        <v>138</v>
      </c>
      <c r="V16" s="17" t="s">
        <v>138</v>
      </c>
    </row>
    <row r="17" spans="1:22" ht="24" customHeight="1" x14ac:dyDescent="0.35">
      <c r="A17" s="10" t="s">
        <v>154</v>
      </c>
      <c r="B17" s="11" t="s">
        <v>155</v>
      </c>
      <c r="C17" s="11" t="s">
        <v>156</v>
      </c>
      <c r="D17" s="12">
        <v>8</v>
      </c>
      <c r="E17" s="21" t="s">
        <v>287</v>
      </c>
      <c r="F17" s="26" t="s">
        <v>21</v>
      </c>
      <c r="G17" s="15">
        <v>46097</v>
      </c>
      <c r="H17" s="15">
        <v>46111</v>
      </c>
      <c r="I17" s="18" t="s">
        <v>138</v>
      </c>
      <c r="J17" s="17" t="s">
        <v>138</v>
      </c>
      <c r="K17" s="18" t="s">
        <v>138</v>
      </c>
      <c r="L17" s="24" t="s">
        <v>291</v>
      </c>
      <c r="M17" s="24" t="s">
        <v>291</v>
      </c>
      <c r="N17" s="24" t="s">
        <v>291</v>
      </c>
      <c r="O17" s="24" t="s">
        <v>291</v>
      </c>
      <c r="P17" s="17" t="s">
        <v>138</v>
      </c>
      <c r="Q17" s="18" t="s">
        <v>138</v>
      </c>
      <c r="R17" s="17" t="s">
        <v>138</v>
      </c>
      <c r="S17" s="18" t="s">
        <v>138</v>
      </c>
      <c r="T17" s="17" t="s">
        <v>138</v>
      </c>
      <c r="U17" s="18" t="s">
        <v>138</v>
      </c>
      <c r="V17" s="17" t="s">
        <v>138</v>
      </c>
    </row>
    <row r="18" spans="1:22" ht="24" customHeight="1" x14ac:dyDescent="0.35">
      <c r="A18" s="10" t="s">
        <v>158</v>
      </c>
      <c r="B18" s="11" t="s">
        <v>66</v>
      </c>
      <c r="C18" s="11" t="s">
        <v>159</v>
      </c>
      <c r="D18" s="12">
        <v>7</v>
      </c>
      <c r="E18" s="21" t="s">
        <v>287</v>
      </c>
      <c r="F18" s="19" t="s">
        <v>25</v>
      </c>
      <c r="G18" s="15">
        <v>46097</v>
      </c>
      <c r="H18" s="15">
        <v>46111</v>
      </c>
      <c r="I18" s="18" t="s">
        <v>138</v>
      </c>
      <c r="J18" s="17" t="s">
        <v>138</v>
      </c>
      <c r="K18" s="18" t="s">
        <v>138</v>
      </c>
      <c r="L18" s="24" t="s">
        <v>290</v>
      </c>
      <c r="M18" s="24" t="s">
        <v>290</v>
      </c>
      <c r="N18" s="24" t="s">
        <v>290</v>
      </c>
      <c r="O18" s="24" t="s">
        <v>290</v>
      </c>
      <c r="P18" s="17" t="s">
        <v>138</v>
      </c>
      <c r="Q18" s="18" t="s">
        <v>138</v>
      </c>
      <c r="R18" s="17" t="s">
        <v>138</v>
      </c>
      <c r="S18" s="18" t="s">
        <v>138</v>
      </c>
      <c r="T18" s="17" t="s">
        <v>138</v>
      </c>
      <c r="U18" s="18" t="s">
        <v>138</v>
      </c>
      <c r="V18" s="17" t="s">
        <v>138</v>
      </c>
    </row>
    <row r="19" spans="1:22" ht="24" customHeight="1" x14ac:dyDescent="0.35">
      <c r="A19" s="10" t="s">
        <v>161</v>
      </c>
      <c r="B19" s="11" t="s">
        <v>162</v>
      </c>
      <c r="C19" s="11" t="s">
        <v>163</v>
      </c>
      <c r="D19" s="12">
        <v>6</v>
      </c>
      <c r="E19" s="21" t="s">
        <v>287</v>
      </c>
      <c r="F19" s="26" t="s">
        <v>21</v>
      </c>
      <c r="G19" s="15">
        <v>46097</v>
      </c>
      <c r="H19" s="15">
        <v>46111</v>
      </c>
      <c r="I19" s="18" t="s">
        <v>138</v>
      </c>
      <c r="J19" s="17" t="s">
        <v>138</v>
      </c>
      <c r="K19" s="18" t="s">
        <v>138</v>
      </c>
      <c r="L19" s="24" t="s">
        <v>291</v>
      </c>
      <c r="M19" s="24" t="s">
        <v>291</v>
      </c>
      <c r="N19" s="24" t="s">
        <v>291</v>
      </c>
      <c r="O19" s="24" t="s">
        <v>291</v>
      </c>
      <c r="P19" s="24" t="s">
        <v>291</v>
      </c>
      <c r="Q19" s="18" t="s">
        <v>138</v>
      </c>
      <c r="R19" s="17" t="s">
        <v>138</v>
      </c>
      <c r="S19" s="18" t="s">
        <v>138</v>
      </c>
      <c r="T19" s="17" t="s">
        <v>138</v>
      </c>
      <c r="U19" s="18" t="s">
        <v>138</v>
      </c>
      <c r="V19" s="17" t="s">
        <v>138</v>
      </c>
    </row>
    <row r="20" spans="1:22" ht="24" customHeight="1" x14ac:dyDescent="0.35">
      <c r="A20" s="10" t="s">
        <v>165</v>
      </c>
      <c r="B20" s="11" t="s">
        <v>166</v>
      </c>
      <c r="C20" s="11" t="s">
        <v>167</v>
      </c>
      <c r="D20" s="12">
        <v>7</v>
      </c>
      <c r="E20" s="21" t="s">
        <v>287</v>
      </c>
      <c r="F20" s="14" t="s">
        <v>17</v>
      </c>
      <c r="G20" s="15">
        <v>46104</v>
      </c>
      <c r="H20" s="15">
        <v>46118</v>
      </c>
      <c r="I20" s="18" t="s">
        <v>138</v>
      </c>
      <c r="J20" s="17" t="s">
        <v>138</v>
      </c>
      <c r="K20" s="18" t="s">
        <v>138</v>
      </c>
      <c r="L20" s="17" t="s">
        <v>138</v>
      </c>
      <c r="M20" s="24" t="s">
        <v>289</v>
      </c>
      <c r="N20" s="24" t="s">
        <v>289</v>
      </c>
      <c r="O20" s="24" t="s">
        <v>289</v>
      </c>
      <c r="P20" s="24" t="s">
        <v>289</v>
      </c>
      <c r="Q20" s="24" t="s">
        <v>289</v>
      </c>
      <c r="R20" s="17" t="s">
        <v>138</v>
      </c>
      <c r="S20" s="18" t="s">
        <v>138</v>
      </c>
      <c r="T20" s="17" t="s">
        <v>138</v>
      </c>
      <c r="U20" s="18" t="s">
        <v>138</v>
      </c>
      <c r="V20" s="17" t="s">
        <v>138</v>
      </c>
    </row>
    <row r="21" spans="1:22" ht="24" customHeight="1" x14ac:dyDescent="0.35">
      <c r="A21" s="10" t="s">
        <v>170</v>
      </c>
      <c r="B21" s="11" t="s">
        <v>171</v>
      </c>
      <c r="C21" s="11" t="s">
        <v>172</v>
      </c>
      <c r="D21" s="12">
        <v>7</v>
      </c>
      <c r="E21" s="21" t="s">
        <v>287</v>
      </c>
      <c r="F21" s="20" t="s">
        <v>29</v>
      </c>
      <c r="G21" s="15">
        <v>46104</v>
      </c>
      <c r="H21" s="15">
        <v>46125</v>
      </c>
      <c r="I21" s="18" t="s">
        <v>138</v>
      </c>
      <c r="J21" s="17" t="s">
        <v>138</v>
      </c>
      <c r="K21" s="18" t="s">
        <v>138</v>
      </c>
      <c r="L21" s="17" t="s">
        <v>138</v>
      </c>
      <c r="M21" s="24" t="s">
        <v>293</v>
      </c>
      <c r="N21" s="24" t="s">
        <v>293</v>
      </c>
      <c r="O21" s="24" t="s">
        <v>293</v>
      </c>
      <c r="P21" s="24" t="s">
        <v>293</v>
      </c>
      <c r="Q21" s="18" t="s">
        <v>138</v>
      </c>
      <c r="R21" s="17" t="s">
        <v>138</v>
      </c>
      <c r="S21" s="18" t="s">
        <v>138</v>
      </c>
      <c r="T21" s="17" t="s">
        <v>138</v>
      </c>
      <c r="U21" s="18" t="s">
        <v>138</v>
      </c>
      <c r="V21" s="17" t="s">
        <v>138</v>
      </c>
    </row>
    <row r="22" spans="1:22" ht="24" customHeight="1" x14ac:dyDescent="0.35">
      <c r="A22" s="10" t="s">
        <v>174</v>
      </c>
      <c r="B22" s="11" t="s">
        <v>175</v>
      </c>
      <c r="C22" s="11" t="s">
        <v>176</v>
      </c>
      <c r="D22" s="12">
        <v>7</v>
      </c>
      <c r="E22" s="21" t="s">
        <v>287</v>
      </c>
      <c r="F22" s="26" t="s">
        <v>21</v>
      </c>
      <c r="G22" s="15">
        <v>46104</v>
      </c>
      <c r="H22" s="15">
        <v>46118</v>
      </c>
      <c r="I22" s="18" t="s">
        <v>138</v>
      </c>
      <c r="J22" s="17" t="s">
        <v>138</v>
      </c>
      <c r="K22" s="18" t="s">
        <v>138</v>
      </c>
      <c r="L22" s="17" t="s">
        <v>138</v>
      </c>
      <c r="M22" s="24" t="s">
        <v>291</v>
      </c>
      <c r="N22" s="24" t="s">
        <v>291</v>
      </c>
      <c r="O22" s="24" t="s">
        <v>291</v>
      </c>
      <c r="P22" s="24" t="s">
        <v>291</v>
      </c>
      <c r="Q22" s="24" t="s">
        <v>291</v>
      </c>
      <c r="R22" s="17" t="s">
        <v>138</v>
      </c>
      <c r="S22" s="18" t="s">
        <v>138</v>
      </c>
      <c r="T22" s="17" t="s">
        <v>138</v>
      </c>
      <c r="U22" s="18" t="s">
        <v>138</v>
      </c>
      <c r="V22" s="17" t="s">
        <v>138</v>
      </c>
    </row>
    <row r="23" spans="1:22" ht="24" customHeight="1" x14ac:dyDescent="0.35">
      <c r="A23" s="10" t="s">
        <v>178</v>
      </c>
      <c r="B23" s="11" t="s">
        <v>179</v>
      </c>
      <c r="C23" s="11" t="s">
        <v>180</v>
      </c>
      <c r="D23" s="12">
        <v>7</v>
      </c>
      <c r="E23" s="21" t="s">
        <v>287</v>
      </c>
      <c r="F23" s="14" t="s">
        <v>17</v>
      </c>
      <c r="G23" s="15">
        <v>46111</v>
      </c>
      <c r="H23" s="15">
        <v>46125</v>
      </c>
      <c r="I23" s="18" t="s">
        <v>138</v>
      </c>
      <c r="J23" s="17" t="s">
        <v>138</v>
      </c>
      <c r="K23" s="18" t="s">
        <v>138</v>
      </c>
      <c r="L23" s="17" t="s">
        <v>138</v>
      </c>
      <c r="M23" s="18" t="s">
        <v>138</v>
      </c>
      <c r="N23" s="24" t="s">
        <v>289</v>
      </c>
      <c r="O23" s="24" t="s">
        <v>289</v>
      </c>
      <c r="P23" s="24" t="s">
        <v>289</v>
      </c>
      <c r="Q23" s="24" t="s">
        <v>289</v>
      </c>
      <c r="R23" s="24" t="s">
        <v>289</v>
      </c>
      <c r="S23" s="18" t="s">
        <v>138</v>
      </c>
      <c r="T23" s="17" t="s">
        <v>138</v>
      </c>
      <c r="U23" s="18" t="s">
        <v>138</v>
      </c>
      <c r="V23" s="17" t="s">
        <v>138</v>
      </c>
    </row>
    <row r="24" spans="1:22" ht="24" customHeight="1" x14ac:dyDescent="0.35">
      <c r="A24" s="10" t="s">
        <v>183</v>
      </c>
      <c r="B24" s="11" t="s">
        <v>184</v>
      </c>
      <c r="C24" s="11" t="s">
        <v>185</v>
      </c>
      <c r="D24" s="12">
        <v>8</v>
      </c>
      <c r="E24" s="21" t="s">
        <v>287</v>
      </c>
      <c r="F24" s="19" t="s">
        <v>25</v>
      </c>
      <c r="G24" s="15">
        <v>46111</v>
      </c>
      <c r="H24" s="15">
        <v>46132</v>
      </c>
      <c r="I24" s="18" t="s">
        <v>138</v>
      </c>
      <c r="J24" s="17" t="s">
        <v>138</v>
      </c>
      <c r="K24" s="18" t="s">
        <v>138</v>
      </c>
      <c r="L24" s="17" t="s">
        <v>138</v>
      </c>
      <c r="M24" s="18" t="s">
        <v>138</v>
      </c>
      <c r="N24" s="24" t="s">
        <v>290</v>
      </c>
      <c r="O24" s="24" t="s">
        <v>290</v>
      </c>
      <c r="P24" s="24" t="s">
        <v>290</v>
      </c>
      <c r="Q24" s="24" t="s">
        <v>290</v>
      </c>
      <c r="R24" s="24" t="s">
        <v>290</v>
      </c>
      <c r="S24" s="18" t="s">
        <v>138</v>
      </c>
      <c r="T24" s="17" t="s">
        <v>138</v>
      </c>
      <c r="U24" s="18" t="s">
        <v>138</v>
      </c>
      <c r="V24" s="17" t="s">
        <v>138</v>
      </c>
    </row>
    <row r="25" spans="1:22" ht="24" customHeight="1" x14ac:dyDescent="0.35">
      <c r="A25" s="10" t="s">
        <v>188</v>
      </c>
      <c r="B25" s="11" t="s">
        <v>189</v>
      </c>
      <c r="C25" s="11" t="s">
        <v>190</v>
      </c>
      <c r="D25" s="12">
        <v>7</v>
      </c>
      <c r="E25" s="21" t="s">
        <v>287</v>
      </c>
      <c r="F25" s="26" t="s">
        <v>21</v>
      </c>
      <c r="G25" s="15">
        <v>46111</v>
      </c>
      <c r="H25" s="15">
        <v>46132</v>
      </c>
      <c r="I25" s="18" t="s">
        <v>138</v>
      </c>
      <c r="J25" s="17" t="s">
        <v>138</v>
      </c>
      <c r="K25" s="18" t="s">
        <v>138</v>
      </c>
      <c r="L25" s="17" t="s">
        <v>138</v>
      </c>
      <c r="M25" s="18" t="s">
        <v>138</v>
      </c>
      <c r="N25" s="24" t="s">
        <v>291</v>
      </c>
      <c r="O25" s="24" t="s">
        <v>291</v>
      </c>
      <c r="P25" s="24" t="s">
        <v>291</v>
      </c>
      <c r="Q25" s="24" t="s">
        <v>291</v>
      </c>
      <c r="R25" s="24" t="s">
        <v>291</v>
      </c>
      <c r="S25" s="18" t="s">
        <v>138</v>
      </c>
      <c r="T25" s="17" t="s">
        <v>138</v>
      </c>
      <c r="U25" s="18" t="s">
        <v>138</v>
      </c>
      <c r="V25" s="17" t="s">
        <v>138</v>
      </c>
    </row>
    <row r="26" spans="1:22" ht="24" customHeight="1" x14ac:dyDescent="0.35">
      <c r="A26" s="10" t="s">
        <v>192</v>
      </c>
      <c r="B26" s="11" t="s">
        <v>66</v>
      </c>
      <c r="C26" s="11" t="s">
        <v>193</v>
      </c>
      <c r="D26" s="12">
        <v>8</v>
      </c>
      <c r="E26" s="21" t="s">
        <v>287</v>
      </c>
      <c r="F26" s="19" t="s">
        <v>25</v>
      </c>
      <c r="G26" s="15">
        <v>46118</v>
      </c>
      <c r="H26" s="15">
        <v>46139</v>
      </c>
      <c r="I26" s="18" t="s">
        <v>138</v>
      </c>
      <c r="J26" s="17" t="s">
        <v>138</v>
      </c>
      <c r="K26" s="18" t="s">
        <v>138</v>
      </c>
      <c r="L26" s="17" t="s">
        <v>138</v>
      </c>
      <c r="M26" s="18" t="s">
        <v>138</v>
      </c>
      <c r="N26" s="17" t="s">
        <v>138</v>
      </c>
      <c r="O26" s="27" t="s">
        <v>290</v>
      </c>
      <c r="P26" s="27" t="s">
        <v>290</v>
      </c>
      <c r="Q26" s="27" t="s">
        <v>290</v>
      </c>
      <c r="R26" s="27" t="s">
        <v>290</v>
      </c>
      <c r="S26" s="18" t="s">
        <v>138</v>
      </c>
      <c r="T26" s="17" t="s">
        <v>138</v>
      </c>
      <c r="U26" s="18" t="s">
        <v>138</v>
      </c>
      <c r="V26" s="17" t="s">
        <v>138</v>
      </c>
    </row>
    <row r="27" spans="1:22" ht="24" customHeight="1" x14ac:dyDescent="0.35">
      <c r="A27" s="10" t="s">
        <v>195</v>
      </c>
      <c r="B27" s="11" t="s">
        <v>196</v>
      </c>
      <c r="C27" s="11" t="s">
        <v>197</v>
      </c>
      <c r="D27" s="12">
        <v>6</v>
      </c>
      <c r="E27" s="21" t="s">
        <v>287</v>
      </c>
      <c r="F27" s="14" t="s">
        <v>17</v>
      </c>
      <c r="G27" s="15">
        <v>46118</v>
      </c>
      <c r="H27" s="15">
        <v>46132</v>
      </c>
      <c r="I27" s="18" t="s">
        <v>138</v>
      </c>
      <c r="J27" s="17" t="s">
        <v>138</v>
      </c>
      <c r="K27" s="18" t="s">
        <v>138</v>
      </c>
      <c r="L27" s="17" t="s">
        <v>138</v>
      </c>
      <c r="M27" s="18" t="s">
        <v>138</v>
      </c>
      <c r="N27" s="17" t="s">
        <v>138</v>
      </c>
      <c r="O27" s="27" t="s">
        <v>289</v>
      </c>
      <c r="P27" s="27" t="s">
        <v>289</v>
      </c>
      <c r="Q27" s="27" t="s">
        <v>289</v>
      </c>
      <c r="R27" s="17" t="s">
        <v>138</v>
      </c>
      <c r="S27" s="18" t="s">
        <v>138</v>
      </c>
      <c r="T27" s="17" t="s">
        <v>138</v>
      </c>
      <c r="U27" s="18" t="s">
        <v>138</v>
      </c>
      <c r="V27" s="17" t="s">
        <v>138</v>
      </c>
    </row>
    <row r="28" spans="1:22" ht="24" customHeight="1" x14ac:dyDescent="0.35">
      <c r="A28" s="10" t="s">
        <v>199</v>
      </c>
      <c r="B28" s="11" t="s">
        <v>200</v>
      </c>
      <c r="C28" s="11" t="s">
        <v>201</v>
      </c>
      <c r="D28" s="12">
        <v>9</v>
      </c>
      <c r="E28" s="28" t="s">
        <v>54</v>
      </c>
      <c r="F28" s="19" t="s">
        <v>25</v>
      </c>
      <c r="G28" s="15">
        <v>46125</v>
      </c>
      <c r="H28" s="15">
        <v>46139</v>
      </c>
      <c r="I28" s="18" t="s">
        <v>138</v>
      </c>
      <c r="J28" s="17" t="s">
        <v>138</v>
      </c>
      <c r="K28" s="18" t="s">
        <v>138</v>
      </c>
      <c r="L28" s="17" t="s">
        <v>138</v>
      </c>
      <c r="M28" s="18" t="s">
        <v>138</v>
      </c>
      <c r="N28" s="17" t="s">
        <v>138</v>
      </c>
      <c r="O28" s="18" t="s">
        <v>138</v>
      </c>
      <c r="P28" s="29" t="s">
        <v>290</v>
      </c>
      <c r="Q28" s="29" t="s">
        <v>290</v>
      </c>
      <c r="R28" s="29" t="s">
        <v>290</v>
      </c>
      <c r="S28" s="18" t="s">
        <v>138</v>
      </c>
      <c r="T28" s="17" t="s">
        <v>138</v>
      </c>
      <c r="U28" s="18" t="s">
        <v>138</v>
      </c>
      <c r="V28" s="17" t="s">
        <v>138</v>
      </c>
    </row>
    <row r="29" spans="1:22" ht="24" customHeight="1" x14ac:dyDescent="0.35">
      <c r="A29" s="10" t="s">
        <v>203</v>
      </c>
      <c r="B29" s="11" t="s">
        <v>204</v>
      </c>
      <c r="C29" s="11" t="s">
        <v>205</v>
      </c>
      <c r="D29" s="12">
        <v>7</v>
      </c>
      <c r="E29" s="28" t="s">
        <v>54</v>
      </c>
      <c r="F29" s="26" t="s">
        <v>21</v>
      </c>
      <c r="G29" s="15">
        <v>46125</v>
      </c>
      <c r="H29" s="15">
        <v>46139</v>
      </c>
      <c r="I29" s="18" t="s">
        <v>138</v>
      </c>
      <c r="J29" s="17" t="s">
        <v>138</v>
      </c>
      <c r="K29" s="18" t="s">
        <v>138</v>
      </c>
      <c r="L29" s="17" t="s">
        <v>138</v>
      </c>
      <c r="M29" s="18" t="s">
        <v>138</v>
      </c>
      <c r="N29" s="17" t="s">
        <v>138</v>
      </c>
      <c r="O29" s="18" t="s">
        <v>138</v>
      </c>
      <c r="P29" s="29" t="s">
        <v>291</v>
      </c>
      <c r="Q29" s="29" t="s">
        <v>291</v>
      </c>
      <c r="R29" s="29" t="s">
        <v>291</v>
      </c>
      <c r="S29" s="29" t="s">
        <v>291</v>
      </c>
      <c r="T29" s="17" t="s">
        <v>138</v>
      </c>
      <c r="U29" s="18" t="s">
        <v>138</v>
      </c>
      <c r="V29" s="17" t="s">
        <v>138</v>
      </c>
    </row>
    <row r="30" spans="1:22" ht="24" customHeight="1" x14ac:dyDescent="0.35">
      <c r="A30" s="10" t="s">
        <v>207</v>
      </c>
      <c r="B30" s="11" t="s">
        <v>208</v>
      </c>
      <c r="C30" s="11" t="s">
        <v>209</v>
      </c>
      <c r="D30" s="12">
        <v>8</v>
      </c>
      <c r="E30" s="28" t="s">
        <v>54</v>
      </c>
      <c r="F30" s="26" t="s">
        <v>21</v>
      </c>
      <c r="G30" s="15">
        <v>46132</v>
      </c>
      <c r="H30" s="15">
        <v>46146</v>
      </c>
      <c r="I30" s="18" t="s">
        <v>138</v>
      </c>
      <c r="J30" s="17" t="s">
        <v>138</v>
      </c>
      <c r="K30" s="18" t="s">
        <v>138</v>
      </c>
      <c r="L30" s="17" t="s">
        <v>138</v>
      </c>
      <c r="M30" s="18" t="s">
        <v>138</v>
      </c>
      <c r="N30" s="17" t="s">
        <v>138</v>
      </c>
      <c r="O30" s="18" t="s">
        <v>138</v>
      </c>
      <c r="P30" s="17" t="s">
        <v>138</v>
      </c>
      <c r="Q30" s="29" t="s">
        <v>291</v>
      </c>
      <c r="R30" s="29" t="s">
        <v>291</v>
      </c>
      <c r="S30" s="29" t="s">
        <v>291</v>
      </c>
      <c r="T30" s="17" t="s">
        <v>138</v>
      </c>
      <c r="U30" s="18" t="s">
        <v>138</v>
      </c>
      <c r="V30" s="17" t="s">
        <v>138</v>
      </c>
    </row>
    <row r="31" spans="1:22" ht="24" customHeight="1" x14ac:dyDescent="0.35">
      <c r="A31" s="10" t="s">
        <v>212</v>
      </c>
      <c r="B31" s="11" t="s">
        <v>213</v>
      </c>
      <c r="C31" s="11" t="s">
        <v>214</v>
      </c>
      <c r="D31" s="12">
        <v>8</v>
      </c>
      <c r="E31" s="28" t="s">
        <v>54</v>
      </c>
      <c r="F31" s="19" t="s">
        <v>25</v>
      </c>
      <c r="G31" s="15">
        <v>46132</v>
      </c>
      <c r="H31" s="15">
        <v>46153</v>
      </c>
      <c r="I31" s="18" t="s">
        <v>138</v>
      </c>
      <c r="J31" s="17" t="s">
        <v>138</v>
      </c>
      <c r="K31" s="18" t="s">
        <v>138</v>
      </c>
      <c r="L31" s="17" t="s">
        <v>138</v>
      </c>
      <c r="M31" s="18" t="s">
        <v>138</v>
      </c>
      <c r="N31" s="17" t="s">
        <v>138</v>
      </c>
      <c r="O31" s="18" t="s">
        <v>138</v>
      </c>
      <c r="P31" s="17" t="s">
        <v>138</v>
      </c>
      <c r="Q31" s="29" t="s">
        <v>290</v>
      </c>
      <c r="R31" s="29" t="s">
        <v>290</v>
      </c>
      <c r="S31" s="29" t="s">
        <v>290</v>
      </c>
      <c r="T31" s="17" t="s">
        <v>138</v>
      </c>
      <c r="U31" s="18" t="s">
        <v>138</v>
      </c>
      <c r="V31" s="17" t="s">
        <v>138</v>
      </c>
    </row>
    <row r="32" spans="1:22" ht="24" customHeight="1" x14ac:dyDescent="0.35">
      <c r="A32" s="10" t="s">
        <v>216</v>
      </c>
      <c r="B32" s="11" t="s">
        <v>217</v>
      </c>
      <c r="C32" s="11" t="s">
        <v>218</v>
      </c>
      <c r="D32" s="12">
        <v>6</v>
      </c>
      <c r="E32" s="28" t="s">
        <v>54</v>
      </c>
      <c r="F32" s="26" t="s">
        <v>21</v>
      </c>
      <c r="G32" s="15">
        <v>46132</v>
      </c>
      <c r="H32" s="15">
        <v>46146</v>
      </c>
      <c r="I32" s="18" t="s">
        <v>138</v>
      </c>
      <c r="J32" s="17" t="s">
        <v>138</v>
      </c>
      <c r="K32" s="18" t="s">
        <v>138</v>
      </c>
      <c r="L32" s="17" t="s">
        <v>138</v>
      </c>
      <c r="M32" s="18" t="s">
        <v>138</v>
      </c>
      <c r="N32" s="17" t="s">
        <v>138</v>
      </c>
      <c r="O32" s="18" t="s">
        <v>138</v>
      </c>
      <c r="P32" s="17" t="s">
        <v>138</v>
      </c>
      <c r="Q32" s="29" t="s">
        <v>291</v>
      </c>
      <c r="R32" s="29" t="s">
        <v>291</v>
      </c>
      <c r="S32" s="29" t="s">
        <v>291</v>
      </c>
      <c r="T32" s="29" t="s">
        <v>291</v>
      </c>
      <c r="U32" s="18" t="s">
        <v>138</v>
      </c>
      <c r="V32" s="17" t="s">
        <v>138</v>
      </c>
    </row>
    <row r="33" spans="1:22" ht="24" customHeight="1" x14ac:dyDescent="0.35">
      <c r="A33" s="10" t="s">
        <v>220</v>
      </c>
      <c r="B33" s="11" t="s">
        <v>221</v>
      </c>
      <c r="C33" s="11" t="s">
        <v>222</v>
      </c>
      <c r="D33" s="12">
        <v>8</v>
      </c>
      <c r="E33" s="28" t="s">
        <v>54</v>
      </c>
      <c r="F33" s="14" t="s">
        <v>17</v>
      </c>
      <c r="G33" s="15">
        <v>46139</v>
      </c>
      <c r="H33" s="15">
        <v>46153</v>
      </c>
      <c r="I33" s="18" t="s">
        <v>138</v>
      </c>
      <c r="J33" s="17" t="s">
        <v>138</v>
      </c>
      <c r="K33" s="18" t="s">
        <v>138</v>
      </c>
      <c r="L33" s="17" t="s">
        <v>138</v>
      </c>
      <c r="M33" s="18" t="s">
        <v>138</v>
      </c>
      <c r="N33" s="17" t="s">
        <v>138</v>
      </c>
      <c r="O33" s="18" t="s">
        <v>138</v>
      </c>
      <c r="P33" s="17" t="s">
        <v>138</v>
      </c>
      <c r="Q33" s="18" t="s">
        <v>138</v>
      </c>
      <c r="R33" s="29" t="s">
        <v>289</v>
      </c>
      <c r="S33" s="29" t="s">
        <v>289</v>
      </c>
      <c r="T33" s="29" t="s">
        <v>289</v>
      </c>
      <c r="U33" s="18" t="s">
        <v>138</v>
      </c>
      <c r="V33" s="17" t="s">
        <v>138</v>
      </c>
    </row>
    <row r="34" spans="1:22" ht="24" customHeight="1" x14ac:dyDescent="0.35">
      <c r="A34" s="10" t="s">
        <v>224</v>
      </c>
      <c r="B34" s="11" t="s">
        <v>225</v>
      </c>
      <c r="C34" s="11" t="s">
        <v>226</v>
      </c>
      <c r="D34" s="12">
        <v>7</v>
      </c>
      <c r="E34" s="28" t="s">
        <v>54</v>
      </c>
      <c r="F34" s="26" t="s">
        <v>21</v>
      </c>
      <c r="G34" s="15">
        <v>46139</v>
      </c>
      <c r="H34" s="15">
        <v>46153</v>
      </c>
      <c r="I34" s="18" t="s">
        <v>138</v>
      </c>
      <c r="J34" s="17" t="s">
        <v>138</v>
      </c>
      <c r="K34" s="18" t="s">
        <v>138</v>
      </c>
      <c r="L34" s="17" t="s">
        <v>138</v>
      </c>
      <c r="M34" s="18" t="s">
        <v>138</v>
      </c>
      <c r="N34" s="17" t="s">
        <v>138</v>
      </c>
      <c r="O34" s="18" t="s">
        <v>138</v>
      </c>
      <c r="P34" s="17" t="s">
        <v>138</v>
      </c>
      <c r="Q34" s="18" t="s">
        <v>138</v>
      </c>
      <c r="R34" s="29" t="s">
        <v>291</v>
      </c>
      <c r="S34" s="29" t="s">
        <v>291</v>
      </c>
      <c r="T34" s="29" t="s">
        <v>291</v>
      </c>
      <c r="U34" s="18" t="s">
        <v>138</v>
      </c>
      <c r="V34" s="17" t="s">
        <v>138</v>
      </c>
    </row>
    <row r="35" spans="1:22" ht="24" customHeight="1" x14ac:dyDescent="0.35">
      <c r="A35" s="10" t="s">
        <v>228</v>
      </c>
      <c r="B35" s="11" t="s">
        <v>229</v>
      </c>
      <c r="C35" s="11" t="s">
        <v>230</v>
      </c>
      <c r="D35" s="12">
        <v>8</v>
      </c>
      <c r="E35" s="28" t="s">
        <v>54</v>
      </c>
      <c r="F35" s="14" t="s">
        <v>17</v>
      </c>
      <c r="G35" s="15">
        <v>46139</v>
      </c>
      <c r="H35" s="15">
        <v>46153</v>
      </c>
      <c r="I35" s="18" t="s">
        <v>138</v>
      </c>
      <c r="J35" s="17" t="s">
        <v>138</v>
      </c>
      <c r="K35" s="18" t="s">
        <v>138</v>
      </c>
      <c r="L35" s="17" t="s">
        <v>138</v>
      </c>
      <c r="M35" s="18" t="s">
        <v>138</v>
      </c>
      <c r="N35" s="17" t="s">
        <v>138</v>
      </c>
      <c r="O35" s="18" t="s">
        <v>138</v>
      </c>
      <c r="P35" s="17" t="s">
        <v>138</v>
      </c>
      <c r="Q35" s="18" t="s">
        <v>138</v>
      </c>
      <c r="R35" s="29" t="s">
        <v>289</v>
      </c>
      <c r="S35" s="29" t="s">
        <v>289</v>
      </c>
      <c r="T35" s="29" t="s">
        <v>289</v>
      </c>
      <c r="U35" s="18" t="s">
        <v>138</v>
      </c>
      <c r="V35" s="17" t="s">
        <v>138</v>
      </c>
    </row>
    <row r="36" spans="1:22" ht="24" customHeight="1" x14ac:dyDescent="0.35">
      <c r="A36" s="10" t="s">
        <v>232</v>
      </c>
      <c r="B36" s="11" t="s">
        <v>233</v>
      </c>
      <c r="C36" s="11" t="s">
        <v>234</v>
      </c>
      <c r="D36" s="12">
        <v>8</v>
      </c>
      <c r="E36" s="28" t="s">
        <v>54</v>
      </c>
      <c r="F36" s="19" t="s">
        <v>25</v>
      </c>
      <c r="G36" s="15">
        <v>46146</v>
      </c>
      <c r="H36" s="15">
        <v>46153</v>
      </c>
      <c r="I36" s="18" t="s">
        <v>138</v>
      </c>
      <c r="J36" s="17" t="s">
        <v>138</v>
      </c>
      <c r="K36" s="18" t="s">
        <v>138</v>
      </c>
      <c r="L36" s="17" t="s">
        <v>138</v>
      </c>
      <c r="M36" s="18" t="s">
        <v>138</v>
      </c>
      <c r="N36" s="17" t="s">
        <v>138</v>
      </c>
      <c r="O36" s="18" t="s">
        <v>138</v>
      </c>
      <c r="P36" s="17" t="s">
        <v>138</v>
      </c>
      <c r="Q36" s="18" t="s">
        <v>138</v>
      </c>
      <c r="R36" s="17" t="s">
        <v>138</v>
      </c>
      <c r="S36" s="29" t="s">
        <v>290</v>
      </c>
      <c r="T36" s="29" t="s">
        <v>290</v>
      </c>
      <c r="U36" s="18" t="s">
        <v>138</v>
      </c>
      <c r="V36" s="17" t="s">
        <v>138</v>
      </c>
    </row>
    <row r="37" spans="1:22" ht="24" customHeight="1" x14ac:dyDescent="0.35">
      <c r="A37" s="10" t="s">
        <v>236</v>
      </c>
      <c r="B37" s="11" t="s">
        <v>237</v>
      </c>
      <c r="C37" s="11" t="s">
        <v>238</v>
      </c>
      <c r="D37" s="12">
        <v>6</v>
      </c>
      <c r="E37" s="28" t="s">
        <v>54</v>
      </c>
      <c r="F37" s="20" t="s">
        <v>29</v>
      </c>
      <c r="G37" s="15">
        <v>46146</v>
      </c>
      <c r="H37" s="15">
        <v>46160</v>
      </c>
      <c r="I37" s="18" t="s">
        <v>138</v>
      </c>
      <c r="J37" s="17" t="s">
        <v>138</v>
      </c>
      <c r="K37" s="18" t="s">
        <v>138</v>
      </c>
      <c r="L37" s="17" t="s">
        <v>138</v>
      </c>
      <c r="M37" s="18" t="s">
        <v>138</v>
      </c>
      <c r="N37" s="17" t="s">
        <v>138</v>
      </c>
      <c r="O37" s="18" t="s">
        <v>138</v>
      </c>
      <c r="P37" s="17" t="s">
        <v>138</v>
      </c>
      <c r="Q37" s="18" t="s">
        <v>138</v>
      </c>
      <c r="R37" s="17" t="s">
        <v>138</v>
      </c>
      <c r="S37" s="29" t="s">
        <v>293</v>
      </c>
      <c r="T37" s="29" t="s">
        <v>293</v>
      </c>
      <c r="U37" s="18" t="s">
        <v>138</v>
      </c>
      <c r="V37" s="17" t="s">
        <v>138</v>
      </c>
    </row>
    <row r="38" spans="1:22" ht="24" customHeight="1" x14ac:dyDescent="0.35">
      <c r="A38" s="10" t="s">
        <v>240</v>
      </c>
      <c r="B38" s="11" t="s">
        <v>241</v>
      </c>
      <c r="C38" s="11" t="s">
        <v>242</v>
      </c>
      <c r="D38" s="12">
        <v>8</v>
      </c>
      <c r="E38" s="19" t="s">
        <v>82</v>
      </c>
      <c r="F38" s="14" t="s">
        <v>17</v>
      </c>
      <c r="G38" s="15">
        <v>46153</v>
      </c>
      <c r="H38" s="15">
        <v>46160</v>
      </c>
      <c r="I38" s="18" t="s">
        <v>138</v>
      </c>
      <c r="J38" s="17" t="s">
        <v>138</v>
      </c>
      <c r="K38" s="18" t="s">
        <v>138</v>
      </c>
      <c r="L38" s="17" t="s">
        <v>138</v>
      </c>
      <c r="M38" s="18" t="s">
        <v>138</v>
      </c>
      <c r="N38" s="17" t="s">
        <v>138</v>
      </c>
      <c r="O38" s="18" t="s">
        <v>138</v>
      </c>
      <c r="P38" s="17" t="s">
        <v>138</v>
      </c>
      <c r="Q38" s="18" t="s">
        <v>138</v>
      </c>
      <c r="R38" s="17" t="s">
        <v>138</v>
      </c>
      <c r="S38" s="18" t="s">
        <v>138</v>
      </c>
      <c r="T38" s="30" t="s">
        <v>289</v>
      </c>
      <c r="U38" s="18" t="s">
        <v>138</v>
      </c>
      <c r="V38" s="17" t="s">
        <v>138</v>
      </c>
    </row>
    <row r="39" spans="1:22" ht="24" customHeight="1" x14ac:dyDescent="0.35">
      <c r="A39" s="10" t="s">
        <v>244</v>
      </c>
      <c r="B39" s="11" t="s">
        <v>245</v>
      </c>
      <c r="C39" s="11" t="s">
        <v>246</v>
      </c>
      <c r="D39" s="12">
        <v>8</v>
      </c>
      <c r="E39" s="19" t="s">
        <v>82</v>
      </c>
      <c r="F39" s="26" t="s">
        <v>21</v>
      </c>
      <c r="G39" s="15">
        <v>46153</v>
      </c>
      <c r="H39" s="15">
        <v>46167</v>
      </c>
      <c r="I39" s="18" t="s">
        <v>138</v>
      </c>
      <c r="J39" s="17" t="s">
        <v>138</v>
      </c>
      <c r="K39" s="18" t="s">
        <v>138</v>
      </c>
      <c r="L39" s="17" t="s">
        <v>138</v>
      </c>
      <c r="M39" s="18" t="s">
        <v>138</v>
      </c>
      <c r="N39" s="17" t="s">
        <v>138</v>
      </c>
      <c r="O39" s="18" t="s">
        <v>138</v>
      </c>
      <c r="P39" s="17" t="s">
        <v>138</v>
      </c>
      <c r="Q39" s="18" t="s">
        <v>138</v>
      </c>
      <c r="R39" s="17" t="s">
        <v>138</v>
      </c>
      <c r="S39" s="18" t="s">
        <v>138</v>
      </c>
      <c r="T39" s="30" t="s">
        <v>291</v>
      </c>
      <c r="U39" s="30" t="s">
        <v>291</v>
      </c>
      <c r="V39" s="17" t="s">
        <v>138</v>
      </c>
    </row>
    <row r="40" spans="1:22" ht="24" customHeight="1" x14ac:dyDescent="0.35">
      <c r="A40" s="10" t="s">
        <v>249</v>
      </c>
      <c r="B40" s="11" t="s">
        <v>250</v>
      </c>
      <c r="C40" s="11" t="s">
        <v>251</v>
      </c>
      <c r="D40" s="12">
        <v>7</v>
      </c>
      <c r="E40" s="31" t="s">
        <v>86</v>
      </c>
      <c r="F40" s="19" t="s">
        <v>25</v>
      </c>
      <c r="G40" s="15">
        <v>46160</v>
      </c>
      <c r="H40" s="15">
        <v>46167</v>
      </c>
      <c r="I40" s="18" t="s">
        <v>138</v>
      </c>
      <c r="J40" s="17" t="s">
        <v>138</v>
      </c>
      <c r="K40" s="18" t="s">
        <v>138</v>
      </c>
      <c r="L40" s="17" t="s">
        <v>138</v>
      </c>
      <c r="M40" s="18" t="s">
        <v>138</v>
      </c>
      <c r="N40" s="17" t="s">
        <v>138</v>
      </c>
      <c r="O40" s="18" t="s">
        <v>138</v>
      </c>
      <c r="P40" s="17" t="s">
        <v>138</v>
      </c>
      <c r="Q40" s="18" t="s">
        <v>138</v>
      </c>
      <c r="R40" s="17" t="s">
        <v>138</v>
      </c>
      <c r="S40" s="18" t="s">
        <v>138</v>
      </c>
      <c r="T40" s="17" t="s">
        <v>138</v>
      </c>
      <c r="U40" s="30" t="s">
        <v>290</v>
      </c>
      <c r="V40" s="17" t="s">
        <v>138</v>
      </c>
    </row>
    <row r="41" spans="1:22" ht="24" customHeight="1" x14ac:dyDescent="0.35">
      <c r="A41" s="10" t="s">
        <v>253</v>
      </c>
      <c r="B41" s="11" t="s">
        <v>254</v>
      </c>
      <c r="C41" s="11" t="s">
        <v>255</v>
      </c>
      <c r="D41" s="12">
        <v>6</v>
      </c>
      <c r="E41" s="31" t="s">
        <v>86</v>
      </c>
      <c r="F41" s="20" t="s">
        <v>29</v>
      </c>
      <c r="G41" s="15">
        <v>46160</v>
      </c>
      <c r="H41" s="15">
        <v>46174</v>
      </c>
      <c r="I41" s="18" t="s">
        <v>138</v>
      </c>
      <c r="J41" s="17" t="s">
        <v>138</v>
      </c>
      <c r="K41" s="18" t="s">
        <v>138</v>
      </c>
      <c r="L41" s="17" t="s">
        <v>138</v>
      </c>
      <c r="M41" s="18" t="s">
        <v>138</v>
      </c>
      <c r="N41" s="17" t="s">
        <v>138</v>
      </c>
      <c r="O41" s="18" t="s">
        <v>138</v>
      </c>
      <c r="P41" s="17" t="s">
        <v>138</v>
      </c>
      <c r="Q41" s="18" t="s">
        <v>138</v>
      </c>
      <c r="R41" s="17" t="s">
        <v>138</v>
      </c>
      <c r="S41" s="18" t="s">
        <v>138</v>
      </c>
      <c r="T41" s="17" t="s">
        <v>138</v>
      </c>
      <c r="U41" s="30" t="s">
        <v>293</v>
      </c>
      <c r="V41" s="30" t="s">
        <v>293</v>
      </c>
    </row>
    <row r="42" spans="1:22" ht="24" customHeight="1" x14ac:dyDescent="0.35">
      <c r="A42" s="10" t="s">
        <v>258</v>
      </c>
      <c r="B42" s="11" t="s">
        <v>259</v>
      </c>
      <c r="C42" s="11" t="s">
        <v>260</v>
      </c>
      <c r="D42" s="12">
        <v>7</v>
      </c>
      <c r="E42" s="31" t="s">
        <v>86</v>
      </c>
      <c r="F42" s="14" t="s">
        <v>17</v>
      </c>
      <c r="G42" s="15">
        <v>46167</v>
      </c>
      <c r="H42" s="15">
        <v>46174</v>
      </c>
      <c r="I42" s="18" t="s">
        <v>138</v>
      </c>
      <c r="J42" s="17" t="s">
        <v>138</v>
      </c>
      <c r="K42" s="18" t="s">
        <v>138</v>
      </c>
      <c r="L42" s="17" t="s">
        <v>138</v>
      </c>
      <c r="M42" s="18" t="s">
        <v>138</v>
      </c>
      <c r="N42" s="17" t="s">
        <v>138</v>
      </c>
      <c r="O42" s="18" t="s">
        <v>138</v>
      </c>
      <c r="P42" s="17" t="s">
        <v>138</v>
      </c>
      <c r="Q42" s="18" t="s">
        <v>138</v>
      </c>
      <c r="R42" s="17" t="s">
        <v>138</v>
      </c>
      <c r="S42" s="18" t="s">
        <v>138</v>
      </c>
      <c r="T42" s="17" t="s">
        <v>138</v>
      </c>
      <c r="U42" s="18" t="s">
        <v>138</v>
      </c>
      <c r="V42" s="30" t="s">
        <v>289</v>
      </c>
    </row>
    <row r="43" spans="1:22" ht="24" customHeight="1" x14ac:dyDescent="0.35">
      <c r="A43" s="10" t="s">
        <v>262</v>
      </c>
      <c r="B43" s="11" t="s">
        <v>259</v>
      </c>
      <c r="C43" s="11" t="s">
        <v>263</v>
      </c>
      <c r="D43" s="12">
        <v>6</v>
      </c>
      <c r="E43" s="31" t="s">
        <v>86</v>
      </c>
      <c r="F43" s="20" t="s">
        <v>29</v>
      </c>
      <c r="G43" s="15">
        <v>46167</v>
      </c>
      <c r="H43" s="15">
        <v>46174</v>
      </c>
      <c r="I43" s="18" t="s">
        <v>138</v>
      </c>
      <c r="J43" s="17" t="s">
        <v>138</v>
      </c>
      <c r="K43" s="18" t="s">
        <v>138</v>
      </c>
      <c r="L43" s="17" t="s">
        <v>138</v>
      </c>
      <c r="M43" s="18" t="s">
        <v>138</v>
      </c>
      <c r="N43" s="17" t="s">
        <v>138</v>
      </c>
      <c r="O43" s="18" t="s">
        <v>138</v>
      </c>
      <c r="P43" s="17" t="s">
        <v>138</v>
      </c>
      <c r="Q43" s="18" t="s">
        <v>138</v>
      </c>
      <c r="R43" s="17" t="s">
        <v>138</v>
      </c>
      <c r="S43" s="18" t="s">
        <v>138</v>
      </c>
      <c r="T43" s="17" t="s">
        <v>138</v>
      </c>
      <c r="U43" s="18" t="s">
        <v>138</v>
      </c>
      <c r="V43" s="30" t="s">
        <v>293</v>
      </c>
    </row>
  </sheetData>
  <mergeCells count="1">
    <mergeCell ref="A1:V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Özet</vt:lpstr>
      <vt:lpstr>Görevler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Tuna Girgin</cp:lastModifiedBy>
  <dcterms:created xsi:type="dcterms:W3CDTF">2026-03-13T17:50:18Z</dcterms:created>
  <dcterms:modified xsi:type="dcterms:W3CDTF">2026-04-12T14:23:00Z</dcterms:modified>
</cp:coreProperties>
</file>